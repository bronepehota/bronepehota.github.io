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9540"/>
  </bookViews>
  <sheets>
    <sheet name="АвтоРасчёт " sheetId="1" r:id="rId1"/>
    <sheet name="Шаблон армлиста" sheetId="2" r:id="rId2"/>
  </sheets>
  <calcPr calcId="144525" refMode="R1C1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R7" i="1"/>
  <c r="R5" i="1"/>
  <c r="R4" i="1"/>
  <c r="R3" i="1"/>
  <c r="R2" i="1"/>
  <c r="R6" i="1"/>
  <c r="N8" i="1"/>
  <c r="J7" i="2" l="1"/>
  <c r="J8" i="2"/>
  <c r="J9" i="2"/>
  <c r="J10" i="2"/>
  <c r="J11" i="2"/>
  <c r="J6" i="2"/>
  <c r="AA55" i="1" l="1"/>
  <c r="Z55" i="1"/>
  <c r="Y55" i="1"/>
  <c r="U55" i="1"/>
  <c r="T55" i="1"/>
  <c r="S55" i="1"/>
  <c r="AA54" i="1"/>
  <c r="Z54" i="1"/>
  <c r="Y54" i="1"/>
  <c r="U54" i="1"/>
  <c r="T54" i="1"/>
  <c r="S54" i="1"/>
  <c r="AA53" i="1"/>
  <c r="Z53" i="1"/>
  <c r="Y53" i="1"/>
  <c r="U53" i="1"/>
  <c r="T53" i="1"/>
  <c r="S53" i="1"/>
  <c r="AA52" i="1"/>
  <c r="Z52" i="1"/>
  <c r="Y52" i="1"/>
  <c r="U52" i="1"/>
  <c r="T52" i="1"/>
  <c r="S52" i="1"/>
  <c r="AA51" i="1"/>
  <c r="Z51" i="1"/>
  <c r="Y51" i="1"/>
  <c r="U51" i="1"/>
  <c r="T51" i="1"/>
  <c r="S51" i="1"/>
  <c r="AA50" i="1"/>
  <c r="Z50" i="1"/>
  <c r="Y50" i="1"/>
  <c r="U50" i="1"/>
  <c r="T50" i="1"/>
  <c r="S50" i="1"/>
  <c r="AA49" i="1"/>
  <c r="Z49" i="1"/>
  <c r="Y49" i="1"/>
  <c r="U49" i="1"/>
  <c r="T49" i="1"/>
  <c r="S49" i="1"/>
  <c r="AA48" i="1"/>
  <c r="Z48" i="1"/>
  <c r="Y48" i="1"/>
  <c r="U48" i="1"/>
  <c r="T48" i="1"/>
  <c r="S48" i="1"/>
  <c r="AA47" i="1"/>
  <c r="Z47" i="1"/>
  <c r="Y47" i="1"/>
  <c r="U47" i="1"/>
  <c r="T47" i="1"/>
  <c r="S47" i="1"/>
  <c r="AA46" i="1"/>
  <c r="Z46" i="1"/>
  <c r="Y46" i="1"/>
  <c r="U46" i="1"/>
  <c r="T46" i="1"/>
  <c r="S46" i="1"/>
  <c r="AA45" i="1"/>
  <c r="Z45" i="1"/>
  <c r="Y45" i="1"/>
  <c r="U45" i="1"/>
  <c r="T45" i="1"/>
  <c r="S45" i="1"/>
  <c r="AA44" i="1"/>
  <c r="Z44" i="1"/>
  <c r="Y44" i="1"/>
  <c r="U44" i="1"/>
  <c r="T44" i="1"/>
  <c r="S44" i="1"/>
  <c r="AA43" i="1"/>
  <c r="Z43" i="1"/>
  <c r="Y43" i="1"/>
  <c r="U43" i="1"/>
  <c r="T43" i="1"/>
  <c r="S43" i="1"/>
  <c r="AA42" i="1"/>
  <c r="Z42" i="1"/>
  <c r="Y42" i="1"/>
  <c r="U42" i="1"/>
  <c r="T42" i="1"/>
  <c r="S42" i="1"/>
  <c r="AA41" i="1"/>
  <c r="Z41" i="1"/>
  <c r="Y41" i="1"/>
  <c r="U41" i="1"/>
  <c r="T41" i="1"/>
  <c r="S41" i="1"/>
  <c r="AA40" i="1"/>
  <c r="Z40" i="1"/>
  <c r="Y40" i="1"/>
  <c r="U40" i="1"/>
  <c r="T40" i="1"/>
  <c r="S40" i="1"/>
  <c r="AA39" i="1"/>
  <c r="Z39" i="1"/>
  <c r="Y39" i="1"/>
  <c r="U39" i="1"/>
  <c r="T39" i="1"/>
  <c r="S39" i="1"/>
  <c r="AA38" i="1"/>
  <c r="Z38" i="1"/>
  <c r="Y38" i="1"/>
  <c r="U38" i="1"/>
  <c r="T38" i="1"/>
  <c r="S38" i="1"/>
  <c r="AA37" i="1"/>
  <c r="Z37" i="1"/>
  <c r="Y37" i="1"/>
  <c r="U37" i="1"/>
  <c r="T37" i="1"/>
  <c r="S37" i="1"/>
  <c r="Y7" i="1"/>
  <c r="U7" i="1"/>
  <c r="T7" i="1"/>
  <c r="S7" i="1"/>
  <c r="P7" i="1"/>
  <c r="O7" i="1"/>
  <c r="K11" i="2" s="1"/>
  <c r="I11" i="2"/>
  <c r="L7" i="1"/>
  <c r="H11" i="2" s="1"/>
  <c r="K7" i="1"/>
  <c r="G11" i="2" s="1"/>
  <c r="I7" i="1"/>
  <c r="E11" i="2" s="1"/>
  <c r="Y6" i="1"/>
  <c r="U6" i="1"/>
  <c r="T6" i="1"/>
  <c r="S6" i="1"/>
  <c r="P6" i="1"/>
  <c r="O6" i="1"/>
  <c r="K10" i="2" s="1"/>
  <c r="I10" i="2"/>
  <c r="L6" i="1"/>
  <c r="H10" i="2" s="1"/>
  <c r="K6" i="1"/>
  <c r="G10" i="2" s="1"/>
  <c r="I6" i="1"/>
  <c r="E10" i="2" s="1"/>
  <c r="Y5" i="1"/>
  <c r="U5" i="1"/>
  <c r="T5" i="1"/>
  <c r="S5" i="1"/>
  <c r="P5" i="1"/>
  <c r="O5" i="1"/>
  <c r="K9" i="2" s="1"/>
  <c r="I9" i="2"/>
  <c r="L5" i="1"/>
  <c r="H9" i="2" s="1"/>
  <c r="K5" i="1"/>
  <c r="G9" i="2" s="1"/>
  <c r="I5" i="1"/>
  <c r="E9" i="2" s="1"/>
  <c r="Y4" i="1"/>
  <c r="U4" i="1"/>
  <c r="T4" i="1"/>
  <c r="S4" i="1"/>
  <c r="P4" i="1"/>
  <c r="O4" i="1"/>
  <c r="K8" i="2" s="1"/>
  <c r="I8" i="2"/>
  <c r="L4" i="1"/>
  <c r="H8" i="2" s="1"/>
  <c r="K4" i="1"/>
  <c r="G8" i="2" s="1"/>
  <c r="I4" i="1"/>
  <c r="E8" i="2" s="1"/>
  <c r="Y3" i="1"/>
  <c r="U3" i="1"/>
  <c r="T3" i="1"/>
  <c r="S3" i="1"/>
  <c r="P3" i="1"/>
  <c r="O3" i="1"/>
  <c r="K7" i="2" s="1"/>
  <c r="I7" i="2"/>
  <c r="L3" i="1"/>
  <c r="H7" i="2" s="1"/>
  <c r="K3" i="1"/>
  <c r="G7" i="2" s="1"/>
  <c r="I3" i="1"/>
  <c r="E7" i="2" s="1"/>
  <c r="Y2" i="1"/>
  <c r="U2" i="1"/>
  <c r="T2" i="1"/>
  <c r="S2" i="1"/>
  <c r="P2" i="1"/>
  <c r="O2" i="1"/>
  <c r="K6" i="2" s="1"/>
  <c r="I6" i="2"/>
  <c r="L2" i="1"/>
  <c r="H6" i="2" s="1"/>
  <c r="K2" i="1"/>
  <c r="G6" i="2" s="1"/>
  <c r="I2" i="1"/>
  <c r="E6" i="2" s="1"/>
  <c r="J37" i="1" l="1"/>
  <c r="J39" i="1"/>
  <c r="J41" i="1"/>
  <c r="J49" i="1"/>
  <c r="J53" i="1"/>
  <c r="J55" i="1"/>
  <c r="I51" i="1"/>
  <c r="I38" i="1"/>
  <c r="I40" i="1"/>
  <c r="I42" i="1"/>
  <c r="I44" i="1"/>
  <c r="I46" i="1"/>
  <c r="I48" i="1"/>
  <c r="I49" i="1"/>
  <c r="Y8" i="1"/>
  <c r="J38" i="1"/>
  <c r="J42" i="1"/>
  <c r="J44" i="1"/>
  <c r="J52" i="1"/>
  <c r="I37" i="1"/>
  <c r="I39" i="1"/>
  <c r="K39" i="1" s="1"/>
  <c r="I41" i="1"/>
  <c r="I43" i="1"/>
  <c r="I45" i="1"/>
  <c r="I47" i="1"/>
  <c r="I54" i="1"/>
  <c r="J45" i="1"/>
  <c r="I53" i="1"/>
  <c r="J43" i="1"/>
  <c r="K43" i="1" s="1"/>
  <c r="J47" i="1"/>
  <c r="J51" i="1"/>
  <c r="K51" i="1" s="1"/>
  <c r="I55" i="1"/>
  <c r="J40" i="1"/>
  <c r="J46" i="1"/>
  <c r="J48" i="1"/>
  <c r="J50" i="1"/>
  <c r="I50" i="1"/>
  <c r="I52" i="1"/>
  <c r="J54" i="1"/>
  <c r="K41" i="1"/>
  <c r="K53" i="1" l="1"/>
  <c r="J7" i="1"/>
  <c r="F11" i="2" s="1"/>
  <c r="J3" i="1"/>
  <c r="F7" i="2" s="1"/>
  <c r="J2" i="1"/>
  <c r="F6" i="2" s="1"/>
  <c r="J4" i="1"/>
  <c r="F8" i="2" s="1"/>
  <c r="J5" i="1"/>
  <c r="F9" i="2" s="1"/>
  <c r="J6" i="1"/>
  <c r="F10" i="2" s="1"/>
  <c r="K55" i="1"/>
  <c r="K37" i="1"/>
  <c r="K49" i="1"/>
  <c r="K48" i="1"/>
  <c r="K46" i="1"/>
  <c r="K52" i="1"/>
  <c r="K45" i="1"/>
  <c r="K44" i="1"/>
  <c r="K42" i="1"/>
  <c r="K50" i="1"/>
  <c r="Q24" i="1"/>
  <c r="K47" i="1"/>
  <c r="Q3" i="1" s="1"/>
  <c r="V3" i="1" s="1"/>
  <c r="K54" i="1"/>
  <c r="K40" i="1"/>
  <c r="K38" i="1"/>
  <c r="Q2" i="1" s="1"/>
  <c r="V2" i="1" s="1"/>
  <c r="Q6" i="1"/>
  <c r="V6" i="1" s="1"/>
  <c r="Q5" i="1" l="1"/>
  <c r="V5" i="1" s="1"/>
  <c r="Q7" i="1"/>
  <c r="V7" i="1" s="1"/>
  <c r="Q4" i="1"/>
  <c r="V4" i="1" s="1"/>
  <c r="W2" i="1" l="1"/>
  <c r="X2" i="1" s="1"/>
  <c r="M3" i="2" s="1"/>
</calcChain>
</file>

<file path=xl/sharedStrings.xml><?xml version="1.0" encoding="utf-8"?>
<sst xmlns="http://schemas.openxmlformats.org/spreadsheetml/2006/main" count="340" uniqueCount="153">
  <si>
    <t>Наименование отряда</t>
  </si>
  <si>
    <t>№</t>
  </si>
  <si>
    <t>Раса</t>
  </si>
  <si>
    <t>Тип отряда</t>
  </si>
  <si>
    <t>Вид брони</t>
  </si>
  <si>
    <t>Оружие</t>
  </si>
  <si>
    <t>Есть ли два оружия в руках?</t>
  </si>
  <si>
    <t>Оружие ББ (в руке)</t>
  </si>
  <si>
    <t>АрмРанг</t>
  </si>
  <si>
    <t>Скорость</t>
  </si>
  <si>
    <t>Дальность</t>
  </si>
  <si>
    <t>Мощность</t>
  </si>
  <si>
    <t>Свойства</t>
  </si>
  <si>
    <t>ББ</t>
  </si>
  <si>
    <t>Броня</t>
  </si>
  <si>
    <t>АрмРанг ЦЕНА</t>
  </si>
  <si>
    <t>Оружие ЦЕНА</t>
  </si>
  <si>
    <t>ББ ЦЕНА</t>
  </si>
  <si>
    <t>Свойства ЦЕНА</t>
  </si>
  <si>
    <t>Броня / скорость ЦЕНА</t>
  </si>
  <si>
    <t>Раса ЦЕНА</t>
  </si>
  <si>
    <t>Цена бойца</t>
  </si>
  <si>
    <t>Цена отряда</t>
  </si>
  <si>
    <t>Тяжёлое вооружение</t>
  </si>
  <si>
    <t>Исходная таблица</t>
  </si>
  <si>
    <t>Человек</t>
  </si>
  <si>
    <t>Основное подразделение</t>
  </si>
  <si>
    <t>Одежда</t>
  </si>
  <si>
    <t>Пистолет-пулемёт</t>
  </si>
  <si>
    <t>Нет</t>
  </si>
  <si>
    <t>Без оружия</t>
  </si>
  <si>
    <t>(нет)</t>
  </si>
  <si>
    <t>ЛазПистолет</t>
  </si>
  <si>
    <t>Нож</t>
  </si>
  <si>
    <t>Пулемёт</t>
  </si>
  <si>
    <t>Тяжёлое стрелковое</t>
  </si>
  <si>
    <t>Наименование</t>
  </si>
  <si>
    <t>Бонус к АрмРанг</t>
  </si>
  <si>
    <t>Бонус к сокорости</t>
  </si>
  <si>
    <t>Бонус к броне</t>
  </si>
  <si>
    <t>Бонус к ББ</t>
  </si>
  <si>
    <t>ЦЕНА</t>
  </si>
  <si>
    <t>Свойство</t>
  </si>
  <si>
    <t>Цена</t>
  </si>
  <si>
    <t>Рм</t>
  </si>
  <si>
    <t>Клон</t>
  </si>
  <si>
    <t>Пр3</t>
  </si>
  <si>
    <t>Киборг</t>
  </si>
  <si>
    <t>Пр4</t>
  </si>
  <si>
    <t>Мутант</t>
  </si>
  <si>
    <t>Пр5</t>
  </si>
  <si>
    <t>Элитный тяжёлый отряд</t>
  </si>
  <si>
    <t>Спецназ</t>
  </si>
  <si>
    <t>Ударное подразделение</t>
  </si>
  <si>
    <t>Ополчение/Полиция</t>
  </si>
  <si>
    <t>Вид:</t>
  </si>
  <si>
    <t>Шлем, лёгкая кирасса</t>
  </si>
  <si>
    <t>Тяжёлая кирасса, напленики</t>
  </si>
  <si>
    <t>Шлем, лёгкая кирасса, щит</t>
  </si>
  <si>
    <t>Тяжёлый пехотный доспех</t>
  </si>
  <si>
    <t>Фелицианский лёгкий бронекостюм</t>
  </si>
  <si>
    <r>
      <rPr>
        <b/>
        <i/>
        <u/>
        <sz val="11"/>
        <color theme="1"/>
        <rFont val="Calibri"/>
        <family val="2"/>
        <charset val="204"/>
        <scheme val="minor"/>
      </rPr>
      <t>Киборг</t>
    </r>
    <r>
      <rPr>
        <sz val="11"/>
        <color theme="1"/>
        <rFont val="Calibri"/>
        <family val="2"/>
        <charset val="204"/>
        <scheme val="minor"/>
      </rPr>
      <t xml:space="preserve"> в лёгкой броне</t>
    </r>
  </si>
  <si>
    <t>Бронекостюм</t>
  </si>
  <si>
    <r>
      <rPr>
        <b/>
        <i/>
        <u/>
        <sz val="11"/>
        <color theme="1"/>
        <rFont val="Calibri"/>
        <family val="2"/>
        <charset val="204"/>
        <scheme val="minor"/>
      </rPr>
      <t>Киборг</t>
    </r>
    <r>
      <rPr>
        <sz val="11"/>
        <color theme="1"/>
        <rFont val="Calibri"/>
        <family val="2"/>
        <charset val="204"/>
        <scheme val="minor"/>
      </rPr>
      <t xml:space="preserve"> в тяжёлой броне</t>
    </r>
  </si>
  <si>
    <t>Экзоскилет</t>
  </si>
  <si>
    <t>ПОДБОР ПАРАМЕТРОВ ДЛЯ АВТОМАТИЧЕСКОГО ПОДСЧЁТА</t>
  </si>
  <si>
    <t>Показатель</t>
  </si>
  <si>
    <t>Цена дальности</t>
  </si>
  <si>
    <t>Цена мощности</t>
  </si>
  <si>
    <t>Класс</t>
  </si>
  <si>
    <t xml:space="preserve">Дальность </t>
  </si>
  <si>
    <t>Цена оружия</t>
  </si>
  <si>
    <t>Македонец Дальносить</t>
  </si>
  <si>
    <t>Македонец Мощность</t>
  </si>
  <si>
    <t>Показатель дальности</t>
  </si>
  <si>
    <t>Модификатор дальности</t>
  </si>
  <si>
    <t>Множитель Дальности</t>
  </si>
  <si>
    <t>Цена модификатора</t>
  </si>
  <si>
    <t>Множитель цены</t>
  </si>
  <si>
    <t>Показатель мощности</t>
  </si>
  <si>
    <t>Модификатор мощности</t>
  </si>
  <si>
    <t>Множитель мощности</t>
  </si>
  <si>
    <t>Д6</t>
  </si>
  <si>
    <t>Пистолет</t>
  </si>
  <si>
    <t>Д6-1</t>
  </si>
  <si>
    <t>2Д6</t>
  </si>
  <si>
    <t>х</t>
  </si>
  <si>
    <t>Д12</t>
  </si>
  <si>
    <t>2Д6-1</t>
  </si>
  <si>
    <t>3Д6</t>
  </si>
  <si>
    <t>2х</t>
  </si>
  <si>
    <t>Д20</t>
  </si>
  <si>
    <t>Дробовик</t>
  </si>
  <si>
    <t>2Д6+1</t>
  </si>
  <si>
    <t>3х</t>
  </si>
  <si>
    <t>умнажить цену на значение</t>
  </si>
  <si>
    <t>Автомат</t>
  </si>
  <si>
    <t>2Д6+3</t>
  </si>
  <si>
    <t>Штурмовой карабин</t>
  </si>
  <si>
    <t>3Д6+3</t>
  </si>
  <si>
    <t>не трогать строку</t>
  </si>
  <si>
    <t>Снайперская Винтовка</t>
  </si>
  <si>
    <t>Д12+2</t>
  </si>
  <si>
    <t>х+2</t>
  </si>
  <si>
    <t>прибавить значение к цене</t>
  </si>
  <si>
    <t>х+1</t>
  </si>
  <si>
    <t>2Д12</t>
  </si>
  <si>
    <t>Гранатомёт/ракетница</t>
  </si>
  <si>
    <t>х+3</t>
  </si>
  <si>
    <t>Противотанокое ружьё</t>
  </si>
  <si>
    <t>Прайс цен
(Забивать значения здесь)</t>
  </si>
  <si>
    <t>Огнемёт</t>
  </si>
  <si>
    <t>Д6+1</t>
  </si>
  <si>
    <t>ЛазГан</t>
  </si>
  <si>
    <t>ЛазПушка</t>
  </si>
  <si>
    <t xml:space="preserve">ПлазПистолет </t>
  </si>
  <si>
    <t>Д6+3</t>
  </si>
  <si>
    <t>ПлазГан</t>
  </si>
  <si>
    <t>ПлазПушка</t>
  </si>
  <si>
    <t>Д20+2</t>
  </si>
  <si>
    <t>Глюонный пистолет</t>
  </si>
  <si>
    <t>Глюонная винтовка</t>
  </si>
  <si>
    <t>Глюонная пушка</t>
  </si>
  <si>
    <t>ОБОЗНАЧЕНИЕ ПАРАМЕТРОВ 
(НЕ ПОДСЧИТЫВАЕТ АВТОМАТИЧЕСКИ)</t>
  </si>
  <si>
    <t>Да</t>
  </si>
  <si>
    <t>Вид оружия</t>
  </si>
  <si>
    <t>Значение</t>
  </si>
  <si>
    <t>Холодное оружие</t>
  </si>
  <si>
    <t>Пило/Электро</t>
  </si>
  <si>
    <t>Двуручное оружие ББ</t>
  </si>
  <si>
    <t xml:space="preserve">  </t>
  </si>
  <si>
    <t>А</t>
  </si>
  <si>
    <t>Ск</t>
  </si>
  <si>
    <t>Дальн</t>
  </si>
  <si>
    <t>Мощн</t>
  </si>
  <si>
    <t>Св</t>
  </si>
  <si>
    <t>Бр</t>
  </si>
  <si>
    <t>Стоимость</t>
  </si>
  <si>
    <t>Боец 1</t>
  </si>
  <si>
    <t>Боец 2</t>
  </si>
  <si>
    <t>Боец 3</t>
  </si>
  <si>
    <t>Боец 5</t>
  </si>
  <si>
    <t>Боец 4</t>
  </si>
  <si>
    <t>Боец 6</t>
  </si>
  <si>
    <t>Краткая инструкция по использованию калькулятора:</t>
  </si>
  <si>
    <t>1) Выберите в ячейках столбцов таблицы значения из выпадающего списка, соответствующие визивигу бойца вашего отряда.</t>
  </si>
  <si>
    <t>2) Если вы не нашли подходящий тип брони во столбце "Вид брони", то выбирите наиболее подходящий из списка.</t>
  </si>
  <si>
    <t>3) Во вкладке "Есть ли два оружия в руках?" необходимо произвести выбор Да/Нет. Если вы выбрали "Да", значит ваш боец стреляет по македонски, у него будет больше кол-во выстрелов, но ниже точность.</t>
  </si>
  <si>
    <r>
      <t xml:space="preserve">4) Во вкладке "Оружие ББ" </t>
    </r>
    <r>
      <rPr>
        <i/>
        <u/>
        <sz val="18"/>
        <color theme="1"/>
        <rFont val="Times New Roman"/>
        <family val="1"/>
        <charset val="204"/>
      </rPr>
      <t xml:space="preserve">ОБЯЗАТЕЛЬНО </t>
    </r>
    <r>
      <rPr>
        <sz val="18"/>
        <color theme="1"/>
        <rFont val="Times New Roman"/>
        <family val="1"/>
        <charset val="204"/>
      </rPr>
      <t>укажите "тяжёлое стрелковое", если ваш боец вооружён ПУЛИМЁТОМ, ГРАНАТОМЁТОМ/РАКЕТНИЦЕЙ, ПРОТИВОТАНКОВОЕ РУЖЬЁ, ОГНЕМЁТ, ЛАЗПУШКА, ПЛАЗПУШКА, ГЛЮОННАЯ ПУШКА</t>
    </r>
  </si>
  <si>
    <t xml:space="preserve">5) В столбце "Свойства" выбираются особые навыки бойца. "Рм"- возможность ремонтировать технику. "Пр3", "Пр4", "Пр5" - возможность осуществлять прыжок. (См. правила варгейма "Бронепехота") </t>
  </si>
  <si>
    <t>6) Перейдите во вкладку "Шаблон армлиста", туда автоматически подсчитваются и вбиваются характеристики ваших бойов и цена отряда, исходя из вашего выбора в данной таблице.</t>
  </si>
  <si>
    <t>&lt;Название отрядва&gt;</t>
  </si>
  <si>
    <t>&lt;Название фракции&gt;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</si>
</sst>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theme="0"/>
      <name val="Calibri"/>
      <family val="2"/>
      <charset val="204"/>
      <scheme val="minor"/>
    </font>
    <font>
      <b/>
      <i/>
      <sz val="14"/>
      <color theme="0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sz val="18"/>
      <color theme="1"/>
      <name val="Times New Roman"/>
      <family val="1"/>
      <charset val="204"/>
    </font>
    <font>
      <i/>
      <u/>
      <sz val="18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7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6" fillId="6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7" borderId="3" xfId="0" applyFont="1" applyFill="1" applyBorder="1" applyAlignment="1">
      <alignment horizontal="center" vertical="center"/>
    </xf>
    <xf numFmtId="0" fontId="0" fillId="0" borderId="5" xfId="0" applyBorder="1"/>
    <xf numFmtId="1" fontId="0" fillId="0" borderId="5" xfId="0" applyNumberFormat="1" applyBorder="1"/>
    <xf numFmtId="1" fontId="0" fillId="0" borderId="6" xfId="0" applyNumberFormat="1" applyBorder="1"/>
    <xf numFmtId="0" fontId="0" fillId="7" borderId="1" xfId="0" applyFill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1" fontId="0" fillId="0" borderId="8" xfId="0" applyNumberFormat="1" applyBorder="1"/>
    <xf numFmtId="0" fontId="0" fillId="8" borderId="7" xfId="0" applyFill="1" applyBorder="1"/>
    <xf numFmtId="1" fontId="0" fillId="8" borderId="7" xfId="0" applyNumberFormat="1" applyFill="1" applyBorder="1"/>
    <xf numFmtId="1" fontId="0" fillId="8" borderId="8" xfId="0" applyNumberFormat="1" applyFill="1" applyBorder="1"/>
    <xf numFmtId="0" fontId="0" fillId="0" borderId="9" xfId="0" applyBorder="1"/>
    <xf numFmtId="1" fontId="0" fillId="0" borderId="9" xfId="0" applyNumberFormat="1" applyBorder="1"/>
    <xf numFmtId="1" fontId="0" fillId="0" borderId="10" xfId="0" applyNumberForma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7" fillId="8" borderId="1" xfId="0" applyFont="1" applyFill="1" applyBorder="1" applyAlignment="1">
      <alignment wrapText="1"/>
    </xf>
    <xf numFmtId="0" fontId="0" fillId="8" borderId="1" xfId="0" applyFill="1" applyBorder="1"/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right" vertical="center"/>
    </xf>
    <xf numFmtId="0" fontId="9" fillId="0" borderId="1" xfId="1" applyFont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3" fillId="8" borderId="13" xfId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3" fillId="8" borderId="16" xfId="1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8" fillId="0" borderId="1" xfId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8" xfId="1" applyFont="1" applyBorder="1" applyAlignment="1">
      <alignment horizontal="center"/>
    </xf>
    <xf numFmtId="0" fontId="8" fillId="0" borderId="5" xfId="1" applyBorder="1" applyAlignment="1">
      <alignment horizontal="center" vertical="center"/>
    </xf>
    <xf numFmtId="0" fontId="8" fillId="0" borderId="19" xfId="1" applyBorder="1" applyAlignment="1">
      <alignment horizontal="center" vertical="center"/>
    </xf>
    <xf numFmtId="0" fontId="8" fillId="7" borderId="5" xfId="1" applyFill="1" applyBorder="1" applyAlignment="1">
      <alignment horizontal="center" vertical="center"/>
    </xf>
    <xf numFmtId="0" fontId="8" fillId="7" borderId="19" xfId="1" applyFill="1" applyBorder="1" applyAlignment="1">
      <alignment horizontal="center" vertical="center" wrapText="1"/>
    </xf>
    <xf numFmtId="0" fontId="8" fillId="7" borderId="5" xfId="1" applyFill="1" applyBorder="1" applyAlignment="1">
      <alignment horizontal="center" vertical="center" wrapText="1"/>
    </xf>
    <xf numFmtId="0" fontId="8" fillId="0" borderId="20" xfId="1" applyBorder="1" applyAlignment="1">
      <alignment horizontal="center" vertical="center"/>
    </xf>
    <xf numFmtId="0" fontId="8" fillId="7" borderId="21" xfId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7" borderId="24" xfId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0" fillId="0" borderId="25" xfId="1" applyFont="1" applyBorder="1" applyAlignment="1">
      <alignment horizontal="center"/>
    </xf>
    <xf numFmtId="0" fontId="8" fillId="0" borderId="7" xfId="1" applyBorder="1" applyAlignment="1">
      <alignment horizontal="center" vertical="center"/>
    </xf>
    <xf numFmtId="0" fontId="8" fillId="0" borderId="26" xfId="1" applyBorder="1" applyAlignment="1">
      <alignment horizontal="center" vertical="center"/>
    </xf>
    <xf numFmtId="0" fontId="8" fillId="7" borderId="7" xfId="1" applyFill="1" applyBorder="1" applyAlignment="1">
      <alignment horizontal="center" vertical="center"/>
    </xf>
    <xf numFmtId="0" fontId="8" fillId="7" borderId="7" xfId="1" applyFill="1" applyBorder="1" applyAlignment="1">
      <alignment horizontal="center" vertical="center" wrapText="1"/>
    </xf>
    <xf numFmtId="0" fontId="8" fillId="7" borderId="27" xfId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7" borderId="28" xfId="1" applyFill="1" applyBorder="1" applyAlignment="1">
      <alignment horizontal="center" vertical="center" wrapText="1"/>
    </xf>
    <xf numFmtId="0" fontId="1" fillId="0" borderId="25" xfId="1" applyFont="1" applyBorder="1" applyAlignment="1">
      <alignment horizontal="center"/>
    </xf>
    <xf numFmtId="0" fontId="10" fillId="0" borderId="7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8" fillId="7" borderId="26" xfId="1" applyFill="1" applyBorder="1" applyAlignment="1">
      <alignment horizontal="center" vertical="center" wrapText="1"/>
    </xf>
    <xf numFmtId="0" fontId="1" fillId="0" borderId="29" xfId="1" applyFont="1" applyBorder="1" applyAlignment="1">
      <alignment horizontal="center"/>
    </xf>
    <xf numFmtId="0" fontId="10" fillId="0" borderId="9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8" fillId="7" borderId="9" xfId="1" applyFill="1" applyBorder="1" applyAlignment="1">
      <alignment horizontal="center" vertical="center"/>
    </xf>
    <xf numFmtId="0" fontId="8" fillId="7" borderId="30" xfId="1" applyFill="1" applyBorder="1" applyAlignment="1">
      <alignment horizontal="center" vertical="center" wrapText="1"/>
    </xf>
    <xf numFmtId="0" fontId="8" fillId="7" borderId="9" xfId="1" applyFill="1" applyBorder="1" applyAlignment="1">
      <alignment horizontal="center" vertical="center" wrapText="1"/>
    </xf>
    <xf numFmtId="0" fontId="8" fillId="7" borderId="31" xfId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7" borderId="33" xfId="1" applyFill="1" applyBorder="1" applyAlignment="1">
      <alignment horizontal="center" vertical="center" wrapText="1"/>
    </xf>
    <xf numFmtId="0" fontId="0" fillId="0" borderId="23" xfId="1" applyFont="1" applyBorder="1" applyAlignment="1">
      <alignment horizontal="center"/>
    </xf>
    <xf numFmtId="0" fontId="10" fillId="0" borderId="34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8" fillId="7" borderId="34" xfId="1" applyFill="1" applyBorder="1" applyAlignment="1">
      <alignment horizontal="center" vertical="center"/>
    </xf>
    <xf numFmtId="0" fontId="8" fillId="7" borderId="35" xfId="1" applyFill="1" applyBorder="1" applyAlignment="1">
      <alignment horizontal="center" vertical="center" wrapText="1"/>
    </xf>
    <xf numFmtId="0" fontId="8" fillId="7" borderId="34" xfId="1" applyFill="1" applyBorder="1" applyAlignment="1">
      <alignment horizontal="center" vertical="center" wrapText="1"/>
    </xf>
    <xf numFmtId="0" fontId="8" fillId="7" borderId="36" xfId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8" fillId="0" borderId="2" xfId="1" applyBorder="1" applyAlignment="1">
      <alignment horizontal="center" vertical="center"/>
    </xf>
    <xf numFmtId="0" fontId="11" fillId="0" borderId="25" xfId="1" applyFont="1" applyBorder="1" applyAlignment="1">
      <alignment horizontal="center"/>
    </xf>
    <xf numFmtId="0" fontId="8" fillId="7" borderId="38" xfId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/>
    </xf>
    <xf numFmtId="0" fontId="10" fillId="0" borderId="7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9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Alignment="1">
      <alignment horizontal="center" vertical="center"/>
    </xf>
    <xf numFmtId="0" fontId="8" fillId="0" borderId="0" xfId="1" applyAlignment="1">
      <alignment horizontal="center" vertical="center" wrapText="1"/>
    </xf>
    <xf numFmtId="0" fontId="8" fillId="0" borderId="1" xfId="1" applyBorder="1"/>
    <xf numFmtId="0" fontId="10" fillId="0" borderId="0" xfId="1" applyFont="1" applyAlignment="1">
      <alignment horizontal="center" vertical="center"/>
    </xf>
    <xf numFmtId="0" fontId="8" fillId="0" borderId="0" xfId="1"/>
    <xf numFmtId="0" fontId="0" fillId="0" borderId="0" xfId="0" applyFill="1" applyAlignment="1">
      <alignment wrapText="1"/>
    </xf>
    <xf numFmtId="0" fontId="0" fillId="10" borderId="2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0" fillId="12" borderId="56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13" borderId="40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7" borderId="2" xfId="0" applyFill="1" applyBorder="1"/>
    <xf numFmtId="0" fontId="2" fillId="4" borderId="39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1" xfId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12" borderId="53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0" fontId="0" fillId="12" borderId="48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Views>
    <sheetView tabSelected="1" topLeftCell="B1" zoomScale="80" zoomScaleNormal="80" workbookViewId="0">
      <selection activeCell="AB72" sqref="AB72"/>
    </sheetView>
  </sheetViews>
  <sheetFormatPr defaultRowHeight="15" x14ac:dyDescent="0.25"/>
  <cols>
    <col min="1" max="1" width="14.42578125" style="13" hidden="1" customWidth="1"/>
    <col min="2" max="2" width="11.42578125" bestFit="1" customWidth="1"/>
    <col min="3" max="3" width="15.140625" bestFit="1" customWidth="1"/>
    <col min="4" max="4" width="26.140625" bestFit="1" customWidth="1"/>
    <col min="5" max="5" width="36.140625" bestFit="1" customWidth="1"/>
    <col min="6" max="6" width="22.7109375" bestFit="1" customWidth="1"/>
    <col min="7" max="7" width="22.5703125" bestFit="1" customWidth="1"/>
    <col min="8" max="8" width="24.42578125" customWidth="1"/>
    <col min="9" max="9" width="11.28515625" hidden="1" customWidth="1"/>
    <col min="10" max="10" width="11.7109375" hidden="1" customWidth="1"/>
    <col min="11" max="12" width="12.140625" style="8" hidden="1" customWidth="1"/>
    <col min="13" max="13" width="29.5703125" style="8" hidden="1" customWidth="1"/>
    <col min="14" max="14" width="28.140625" style="8" hidden="1" customWidth="1"/>
    <col min="15" max="15" width="7.42578125" style="8" hidden="1" customWidth="1"/>
    <col min="16" max="16" width="14" style="14" hidden="1" customWidth="1"/>
    <col min="17" max="17" width="14.42578125" style="14" hidden="1" customWidth="1"/>
    <col min="18" max="18" width="12" style="14" hidden="1" customWidth="1"/>
    <col min="19" max="19" width="15.85546875" style="14" hidden="1" customWidth="1"/>
    <col min="20" max="20" width="21.140625" style="14" hidden="1" customWidth="1"/>
    <col min="21" max="21" width="11.7109375" style="14" hidden="1" customWidth="1"/>
    <col min="22" max="22" width="11.42578125" hidden="1" customWidth="1"/>
    <col min="23" max="23" width="14.42578125" hidden="1" customWidth="1"/>
    <col min="24" max="24" width="12.140625" hidden="1" customWidth="1"/>
    <col min="25" max="25" width="21.85546875" hidden="1" customWidth="1"/>
    <col min="26" max="26" width="20.140625" hidden="1" customWidth="1"/>
  </cols>
  <sheetData>
    <row r="1" spans="1:25" s="8" customFormat="1" ht="30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7" t="s">
        <v>22</v>
      </c>
      <c r="Y1" s="3" t="s">
        <v>23</v>
      </c>
    </row>
    <row r="2" spans="1:25" x14ac:dyDescent="0.25">
      <c r="A2" s="153" t="s">
        <v>24</v>
      </c>
      <c r="B2" s="9">
        <v>1</v>
      </c>
      <c r="C2" s="9"/>
      <c r="D2" s="9"/>
      <c r="E2" s="9"/>
      <c r="F2" s="9" t="s">
        <v>31</v>
      </c>
      <c r="G2" s="9"/>
      <c r="H2" s="9" t="s">
        <v>30</v>
      </c>
      <c r="I2" s="9" t="str">
        <f>IF(D2="Элитный тяжёлый отряд",IF(C2="Клон",4,$E$17),IF(D2="Спецназ",IF(C2="Клон",3,$E$18),IF(D2="Ударное подразделение",IF(C2="Клон",2,$E$19),IF(D2="Основное подразделение",$E$20,IF(D2="Ополчение/Полиция",$E$21,"")))))</f>
        <v/>
      </c>
      <c r="J2" s="9" t="str">
        <f>IF(E2="Одежда",IF($Y$8&lt;=2, $G$24,4),IF(E2="Шлем, лёгкая кирасса",IF($Y$8&lt;=2, $G$25,4),IF(E2="Тяжёлая кирасса, напленики",IF($Y$8&lt;=2, $G$26,4),IF(E2="Киборг",IF($Y$8&lt;=2, $G$27,4),IF(E2="Шлем, лёгкая кирасса, щит",IF($Y$8&lt;=2, $G$28,3),IF(E2="Тяжёлый пехотный доспех",IF($Y$8&lt;=2, $G$29,3),IF(E2="Фелицианский лёгкий бронекостюм",IF($Y$8&lt;=2, $G$30,5),IF(E2="Киборг в лёгкой броне",IF($Y$8&lt;=2, $G$31,3),IF(E2="Бронекостюм",IF($Y$8&lt;=2, $G$32,3),IF(E2="Киборг в тяжёлой броне",IF($Y$8&lt;=2, $G$33,3),IF(E2="Экзоскилет",$G$34,"")))))))))))</f>
        <v/>
      </c>
      <c r="K2" s="10" t="str">
        <f t="shared" ref="K2:K7" si="0">IF(F2="Пистолет",IF(+G2= "Да",$M$37,$G$37),IF(F2="Пистолет-пулемёт",IF(+G2= "Да",$M$37,$G$38),IF(F2="Дробовик",$G$39,IF(F2="Автомат",$G$40,IF(F2="Штурмовой карабин",$G$41,IF(F2="Снайперская Винтовка",$G$42,IF(F2="Пулемёт",$G$43,IF(F2="Гранатомёт/ракетница",$G$44,IF(F2="Противотанокое ружьё",$G$45,IF(F2="Огнемёт",$G$46,IF(F2="ЛазПистолет",IF(+G2= "Да",$M$38, $G$47),IF(F2="ЛазГан",$G$48,IF(F2="ЛазПушка",$G$49,IF(F2="ПлазПистолет ",IF(+G2= "Да",$M$37, $G$50),IF(F2="ПлазГан",$G$51,IF(F2="ПлазПушка",$G$52,IF(F2="Глюонный пистолет",IF(+G2= "Да",$M$37, $G$53),IF(F2="Глюонная винтовка",$G$54,IF(F2="Глюонная пушка",$G$55,"")))))))))))))))))))</f>
        <v/>
      </c>
      <c r="L2" s="10" t="str">
        <f t="shared" ref="L2:L7" si="1">IF(F2="Пистолет",IF(+G2= "Да",$N$37, $H$37),IF(F2="Пистолет-пулемёт",IF(+G2= "Да",$N$38, $H$38),IF(F2="Дробовик",$H$39,IF(F2="Автомат",$H$40,IF(F2="Штурмовой карабин",$H$41,IF(F2="Снайперская Винтовка",$H$42,IF(F2="Пулемёт",$H$43,IF(F2="Гранатомёт/ракетница",$H$44,IF(F2="Противотанокое ружьё",$H$45,IF(F2="Огнемёт",$H$46,IF(F2="ЛазПистолет",IF(+G2= "Да",$N$39, $H$47),IF(F2="ЛазГан",$H$48,IF(F2="ЛазПушка",$H$49,IF(F2="ПлазПистолет ",IF(+G2= "Да",$N$40, $H$50),IF(F2="ПлазГан",$H$51,IF(F2="ПлазПушка",$H$52,IF(F2="Глюонный пистолет",IF(+G2= "Да",$N$41, $H$53),IF(F2="Глюонная винтовка",$H$54,IF(F2="Глюонная пушка",$H$55,"")))))))))))))))))))</f>
        <v/>
      </c>
      <c r="M2" s="10" t="s">
        <v>31</v>
      </c>
      <c r="N2" s="10">
        <f>IF(H2="Без оружия",IF(C2="Мутант",4,IF(E2="Экзоскилет",3,IF(D2="Элитный тяжёлый отряд",3,IF(D2="Спецназ",3,IF(C2="Клон",3,$I$64))))),IF(H2="Нож",IF(C2="Мутант",4,IF(E2="Экзоскилет",4,IF(D2="Элитный тяжёлый отряд",4,IF(D2="Спецназ",4,IF(C2="Клон",3,$I$65))))),IF(H2="Холодное оружие",IF(C2="Мутант",6,IF(E2="Экзоскилет",5,IF(D2="Элитный тяжёлый отряд",5,IF(D2="Спецназ",5,IF(C2="Клон",5,$I$66))))),IF(H2="Пило/Электро",IF(C2="Мутант",7,IF(E2="Экзоскилет",6,IF(D2="Элитный тяжёлый отряд",6,IF(D2="Спецназ",7,IF(C2="Клон",6,$I$67))))),IF(H2="Двуручное оружие ББ",IF(E2="Экзоскилет",7,IF(D2="Элитный тяжёлый отряд",7,IF(D2="Спецназ",7,IF(C2="Клон",7,IF(C2="Мутант",7,$I$68))))),IF(H2="Тяжёлое стрелковое",IF(E2="Экзоскилет",3,$I$69),""))))))</f>
        <v>2</v>
      </c>
      <c r="O2" s="10" t="str">
        <f>IF(E2="Одежда",IF(C2="Мутант",3,$F$24),IF(E2="Шлем, лёгкая кирасса",IF(C2="Мутант",4,$F$25),IF(E2="Тяжёлая кирасса, напленики",IF(C2="Мутант",5,$F$26),IF(E2="Киборг",$F$27,IF(E2="Шлем, лёгкая кирасса, щит",IF(C2="Мутант",6,$F$28),IF(E2="Тяжёлый пехотный доспех",IF(C2="Мутант",6,$F$29),IF(E2="Фелицианский лёгкий бронекостюм",$F$30,IF(E2="Киборг в лёгкой броне",$F$31,IF(E2="Бронекостюм",IF(C2="Мутант",6,$F$32),IF(E2="Киборг в тяжёлой броне",$F$33,IF(E2="Экзоскилет",$F$34,"")))))))))))</f>
        <v/>
      </c>
      <c r="P2" s="11" t="str">
        <f>IF(D2="Элитный тяжёлый отряд",$F$17,IF(D2="Спецназ",$F$18,IF(D2="Ударное подразделение",$F$19,IF(D2="Основное подразделение",$F$20,IF(D2="Ополчение/Полиция",$F$21,"")))))</f>
        <v/>
      </c>
      <c r="Q2" s="11" t="str">
        <f>IF(F2="Пистолет", $K$37,IF(F2="Пистолет-пулемёт",$K$38,IF(F2="Дробовик",$K$39,IF(F2="Автомат",$K$40,IF(F2="Штурмовой карабин",$K$41,IF(F2="Снайперская Винтовка",$K$42,IF(F2="Пулемёт",$K$43,IF(F2="Гранатомёт/ракетница",$K$44,IF(F2="Противотанокое ружьё",$K$45,IF(F2="Огнемёт",$K$46,IF(F2="ЛазПистолет",$K$47,IF(F2="ЛазГан",$K$48,IF(F2="ЛазПушка",$K$49,IF(F2="ПлазПистолет ",$K$50,IF(F2="ПлазГан",$K$51,IF(F2="ПлазПушка",$K$52,IF(F2="Глюонный пистолет",$K$53,IF(F2="Глюонная винтовка",$K$54,IF(F2="Глюонная пушка",$K$55,"")))))))))))))))))))</f>
        <v/>
      </c>
      <c r="R2" s="11">
        <f t="shared" ref="R2:R5" si="2">IF(H2="Без оружия",$J$64,IF(H2="Нож",$J$65,IF(H2="Холодное оружие",$J$66,IF(H2="Пило/Электро",$J$67,IF(H2="Двуручное оружие ББ",$J$68,IF(H2="Тяжёлое стрелковое",$J$69,""))))))</f>
        <v>0</v>
      </c>
      <c r="S2" s="11">
        <f>IF(M2="(нет)",$N$15,IF(M2="Рм",$N$11,IF(M2="Пр3",$N$12,IF(M2="Пр4",$N$13,IF(M2="Пр5",$N$14,"")))))</f>
        <v>0</v>
      </c>
      <c r="T2" s="11" t="str">
        <f t="shared" ref="T2:T7" si="3">IF(E2="Одежда",$H$24,IF(E2="Шлем, лёгкая кирасса",$H$25,IF(E2="Тяжёлая кирасса, напленики",$H$26,IF(E2="Киборг",$H$27,IF(E2="Шлем, лёгкая кирасса, щит",$H$28,IF(E2="Тяжёлый пехотный доспех",$H$29,IF(E2="Фелицианский лёгкий бронекостюм",$H$30,IF(E2="Киборг в лёгкой броне",$H$31,IF(E2="Бронекостюм",$H$32,IF(E2="Киборг в тяжёлой броне",$H$33,IF(E2="Экзоскилет",$H$34,"")))))))))))</f>
        <v/>
      </c>
      <c r="U2" s="11" t="str">
        <f>IF(C2="Человек",$H$11,IF(C2="Клон",$H$12,IF(C2="Киборг",$H$13,IF(C2="Мутант",$H$14,""))))</f>
        <v/>
      </c>
      <c r="V2" s="9">
        <f>SUM(P2:U2)</f>
        <v>0</v>
      </c>
      <c r="W2" s="9">
        <f>SUM(V2:V7)/10</f>
        <v>1</v>
      </c>
      <c r="X2" s="9">
        <f>_xlfn.CEILING.PRECISE(W2,5)</f>
        <v>5</v>
      </c>
      <c r="Y2" s="10" t="str">
        <f t="shared" ref="Y2:Y7" si="4">IF(F2="Пистолет",0,IF(F2="Пистолет-пулемёт",0,IF(F2="Дробовик",0,IF(F2="Автомат",0,IF(F2="Штурмовой карабин",0,IF(F2="Снайперская Винтовка",1,IF(F2="Пулемёт",1,IF(F2="Гранатомёт/ракетница",1,IF(F2="Противотанокое ружьё",1,IF(F2="Огнемёт",1,IF(F2="ЛазПистолет",0,IF(F2="ЛазГан",0,IF(F2="ЛазПушка",1,IF(F2="ПлазПистолет ",0,IF(F2="ПлазГан",0,IF(F2="ПлазПушка",1,IF(F2="Глюонный пистолет",0,IF(F2="Глюонная винтовка",0,IF(F2="Глюонная пушка",1,"")))))))))))))))))))</f>
        <v/>
      </c>
    </row>
    <row r="3" spans="1:25" x14ac:dyDescent="0.25">
      <c r="A3" s="153"/>
      <c r="B3" s="9">
        <v>2</v>
      </c>
      <c r="C3" s="9"/>
      <c r="D3" s="9"/>
      <c r="E3" s="9"/>
      <c r="F3" s="9" t="s">
        <v>31</v>
      </c>
      <c r="G3" s="9"/>
      <c r="H3" s="9" t="s">
        <v>30</v>
      </c>
      <c r="I3" s="9" t="str">
        <f t="shared" ref="I3:I7" si="5">IF(D3="Элитный тяжёлый отряд",IF(C3="Клон",4,$E$17),IF(D3="Спецназ",IF(C3="Клон",3,$E$18),IF(D3="Ударное подразделение",IF(C3="Клон",2,$E$19),IF(D3="Основное подразделение",$E$20,IF(D3="Ополчение/Полиция",$E$21,"")))))</f>
        <v/>
      </c>
      <c r="J3" s="9" t="str">
        <f>IF(E3="Одежда",IF($Y$8&lt;=2, $G$24,4),IF(E3="Шлем, лёгкая кирасса",IF($Y$8&lt;=2, $G$25,4),IF(E3="Тяжёлая кирасса, напленики",IF($Y$8&lt;=2, $G$26,4),IF(E3="Киборг",IF($Y$8&lt;=2, $G$27,4),IF(E3="Шлем, лёгкая кирасса, щит",IF($Y$8&lt;=2, $G$28,3),IF(E3="Тяжёлый пехотный доспех",IF($Y$8&lt;=2, $G$29,3),IF(E3="Фелицианский лёгкий бронекостюм",IF($Y$8&lt;=2, $G$30,5),IF(E3="Киборг в лёгкой броне",IF($Y$8&lt;=2, $G$31,3),IF(E3="Бронекостюм",IF($Y$8&lt;=2, $G$32,3),IF(E3="Киборг в тяжёлой броне",IF($Y$8&lt;=2, $G$33,3),IF(E3="Экзоскилет",$G$34,"")))))))))))</f>
        <v/>
      </c>
      <c r="K3" s="10" t="str">
        <f t="shared" si="0"/>
        <v/>
      </c>
      <c r="L3" s="10" t="str">
        <f t="shared" si="1"/>
        <v/>
      </c>
      <c r="M3" s="10" t="s">
        <v>31</v>
      </c>
      <c r="N3" s="10">
        <f t="shared" ref="N3:N7" si="6">IF(H3="Без оружия",IF(C3="Мутант",4,IF(E3="Экзоскилет",3,IF(D3="Элитный тяжёлый отряд",3,IF(D3="Спецназ",3,IF(C3="Клон",3,$I$64))))),IF(H3="Нож",IF(C3="Мутант",4,IF(E3="Экзоскилет",4,IF(D3="Элитный тяжёлый отряд",4,IF(D3="Спецназ",4,IF(C3="Клон",3,$I$65))))),IF(H3="Холодное оружие",IF(C3="Мутант",6,IF(E3="Экзоскилет",5,IF(D3="Элитный тяжёлый отряд",5,IF(D3="Спецназ",5,IF(C3="Клон",5,$I$66))))),IF(H3="Пило/Электро",IF(C3="Мутант",7,IF(E3="Экзоскилет",6,IF(D3="Элитный тяжёлый отряд",6,IF(D3="Спецназ",7,IF(C3="Клон",6,$I$67))))),IF(H3="Двуручное оружие ББ",IF(E3="Экзоскилет",7,IF(D3="Элитный тяжёлый отряд",7,IF(D3="Спецназ",7,IF(C3="Клон",7,IF(C3="Мутант",7,$I$68))))),IF(H3="Тяжёлое стрелковое",IF(E3="Экзоскилет",3,$I$69),""))))))</f>
        <v>2</v>
      </c>
      <c r="O3" s="10" t="str">
        <f t="shared" ref="O3:O6" si="7">IF(E3="Одежда",IF(C3="Мутант",3,$F$24),IF(E3="Шлем, лёгкая кирасса",IF(C3="Мутант",4,$F$25),IF(E3="Тяжёлая кирасса, напленики",IF(C3="Мутант",5,$F$26),IF(E3="Киборг",$F$27,IF(E3="Шлем, лёгкая кирасса, щит",IF(C3="Мутант",6,$F$28),IF(E3="Тяжёлый пехотный доспех",IF(C3="Мутант",6,$F$29),IF(E3="Фелицианский лёгкий бронекостюм",$F$30,IF(E3="Киборг в лёгкой броне",$F$31,IF(E3="Бронекостюм",IF(C3="Мутант",6,$F$32),IF(E3="Киборг в тяжёлой броне",$F$33,IF(E3="Экзоскилет",$F$34,"")))))))))))</f>
        <v/>
      </c>
      <c r="P3" s="11" t="str">
        <f t="shared" ref="P3:P7" si="8">IF(D3="Элитный тяжёлый отряд",$F$17,IF(D3="Спецназ",$F$18,IF(D3="Ударное подразделение",$F$19,IF(D3="Основное подразделение",$F$20,IF(D3="Ополчение/Полиция",$F$21,"")))))</f>
        <v/>
      </c>
      <c r="Q3" s="11" t="str">
        <f>IF(F3="Пистолет",$K$37,IF(F3="Пистолет-пулемёт",$K$38,IF(F3="Дробовик",$K$39,IF(F3="Автомат",$K$40,IF(F3="Штурмовой карабин",$K$41,IF(F3="Снайперская Винтовка",$K$42,IF(F3="Пулемёт",$K$43,IF(F3="Гранатомёт/ракетница",$K$44,IF(F3="Противотанокое ружьё",$K$45,IF(F3="Огнемёт",$K$46,IF(F3="ЛазПистолет",$K$47,IF(F3="ЛазГан",$K$48,IF(F3="ЛазПушка",$K$49,IF(F3="ПлазПистолет ",$K$50,IF(F3="ПлазГан",$K$51,IF(F3="ПлазПушка",$K$52,IF(F3="Глюонный пистолет",$K$53,IF(F3="Глюонная винтовка",$K$54,IF(F3="Глюонная пушка",$K$55,"")))))))))))))))))))</f>
        <v/>
      </c>
      <c r="R3" s="11">
        <f t="shared" si="2"/>
        <v>0</v>
      </c>
      <c r="S3" s="11">
        <f t="shared" ref="S3:S7" si="9">IF(M3="(нет)",$N$15,IF(M3="Рм",$N$11,IF(M3="Пр3",$N$12,IF(M3="Пр4",$N$13,IF(M3="Пр5",$N$14,"")))))</f>
        <v>0</v>
      </c>
      <c r="T3" s="11" t="str">
        <f t="shared" si="3"/>
        <v/>
      </c>
      <c r="U3" s="11" t="str">
        <f t="shared" ref="U3:U7" si="10">IF(C3="Человек",$H$11,IF(C3="Клон",$H$12,IF(C3="Киборг",$H$13,IF(C3="Мутант",$H$14,""))))</f>
        <v/>
      </c>
      <c r="V3" s="9">
        <f t="shared" ref="V3:V7" si="11">SUM(P3:U3)</f>
        <v>0</v>
      </c>
      <c r="Y3" s="10" t="str">
        <f t="shared" si="4"/>
        <v/>
      </c>
    </row>
    <row r="4" spans="1:25" x14ac:dyDescent="0.25">
      <c r="A4" s="153"/>
      <c r="B4" s="9">
        <v>3</v>
      </c>
      <c r="C4" s="9"/>
      <c r="D4" s="9"/>
      <c r="E4" s="9"/>
      <c r="F4" s="9" t="s">
        <v>31</v>
      </c>
      <c r="G4" s="9"/>
      <c r="H4" s="9" t="s">
        <v>30</v>
      </c>
      <c r="I4" s="9" t="str">
        <f t="shared" si="5"/>
        <v/>
      </c>
      <c r="J4" s="9" t="str">
        <f t="shared" ref="J4:J7" si="12">IF(E4="Одежда",IF($Y$8&lt;=2, $G$24,4),IF(E4="Шлем, лёгкая кирасса",IF($Y$8&lt;=2, $G$25,4),IF(E4="Тяжёлая кирасса, напленики",IF($Y$8&lt;=2, $G$26,4),IF(E4="Киборг",IF($Y$8&lt;=2, $G$27,4),IF(E4="Шлем, лёгкая кирасса, щит",IF($Y$8&lt;=2, $G$28,3),IF(E4="Тяжёлый пехотный доспех",IF($Y$8&lt;=2, $G$29,3),IF(E4="Фелицианский лёгкий бронекостюм",IF($Y$8&lt;=2, $G$30,5),IF(E4="Киборг в лёгкой броне",IF($Y$8&lt;=2, $G$31,3),IF(E4="Бронекостюм",IF($Y$8&lt;=2, $G$32,3),IF(E4="Киборг в тяжёлой броне",IF($Y$8&lt;=2, $G$33,3),IF(E4="Экзоскилет",$G$34,"")))))))))))</f>
        <v/>
      </c>
      <c r="K4" s="10" t="str">
        <f t="shared" si="0"/>
        <v/>
      </c>
      <c r="L4" s="10" t="str">
        <f t="shared" si="1"/>
        <v/>
      </c>
      <c r="M4" s="10" t="s">
        <v>44</v>
      </c>
      <c r="N4" s="10">
        <f t="shared" si="6"/>
        <v>2</v>
      </c>
      <c r="O4" s="10" t="str">
        <f t="shared" si="7"/>
        <v/>
      </c>
      <c r="P4" s="11" t="str">
        <f t="shared" si="8"/>
        <v/>
      </c>
      <c r="Q4" s="11" t="str">
        <f>IF(F4="Пистолет",$K$37,IF(F4="Пистолет-пулемёт",$K$38,IF(F4="Дробовик",$K$39,IF(F4="Автомат",$K$40,IF(F4="Штурмовой карабин",$K$41,IF(F4="Снайперская Винтовка",$K$42,IF(F4="Пулемёт",$K$43,IF(F4="Гранатомёт/ракетница",$K$44,IF(F4="Противотанокое ружьё",$K$45,IF(F4="Огнемёт",$K$46,IF(F4="ЛазПистолет",$K$47,IF(F4="ЛазГан",$K$48,IF(F4="ЛазПушка",$K$49,IF(F4="ПлазПистолет ",$K$50,IF(F4="ПлазГан",$K$51,IF(F4="ПлазПушка",$K$52,IF(F4="Глюонный пистолет",$K$53,IF(F4="Глюонная винтовка",$K$54,IF(F4="Глюонная пушка",$K$55,"")))))))))))))))))))</f>
        <v/>
      </c>
      <c r="R4" s="11">
        <f t="shared" si="2"/>
        <v>0</v>
      </c>
      <c r="S4" s="11">
        <f t="shared" si="9"/>
        <v>10</v>
      </c>
      <c r="T4" s="11" t="str">
        <f t="shared" si="3"/>
        <v/>
      </c>
      <c r="U4" s="11" t="str">
        <f t="shared" si="10"/>
        <v/>
      </c>
      <c r="V4" s="9">
        <f t="shared" si="11"/>
        <v>10</v>
      </c>
      <c r="Y4" s="10" t="str">
        <f t="shared" si="4"/>
        <v/>
      </c>
    </row>
    <row r="5" spans="1:25" x14ac:dyDescent="0.25">
      <c r="A5" s="153"/>
      <c r="B5" s="9">
        <v>4</v>
      </c>
      <c r="C5" s="9"/>
      <c r="D5" s="9"/>
      <c r="E5" s="9"/>
      <c r="F5" s="9" t="s">
        <v>31</v>
      </c>
      <c r="G5" s="9"/>
      <c r="H5" s="9" t="s">
        <v>30</v>
      </c>
      <c r="I5" s="9" t="str">
        <f t="shared" si="5"/>
        <v/>
      </c>
      <c r="J5" s="9" t="str">
        <f t="shared" si="12"/>
        <v/>
      </c>
      <c r="K5" s="10" t="str">
        <f t="shared" si="0"/>
        <v/>
      </c>
      <c r="L5" s="10" t="str">
        <f t="shared" si="1"/>
        <v/>
      </c>
      <c r="M5" s="10" t="s">
        <v>31</v>
      </c>
      <c r="N5" s="10">
        <f t="shared" si="6"/>
        <v>2</v>
      </c>
      <c r="O5" s="10" t="str">
        <f t="shared" si="7"/>
        <v/>
      </c>
      <c r="P5" s="11" t="str">
        <f t="shared" si="8"/>
        <v/>
      </c>
      <c r="Q5" s="11" t="str">
        <f>IF(F5="Пистолет",$K$37,IF(F5="Пистолет-пулемёт",$K$38,IF(F5="Дробовик",$K$39,IF(F5="Автомат",$K$40,IF(F5="Штурмовой карабин",$K$41,IF(F5="Снайперская Винтовка",$K$42,IF(F5="Пулемёт",$K$43,IF(F5="Гранатомёт/ракетница",$K$44,IF(F5="Противотанокое ружьё",$K$45,IF(F5="Огнемёт",$K$46,IF(F5="ЛазПистолет",$K$47,IF(F5="ЛазГан",$K$48,IF(F5="ЛазПушка",$K$49,IF(F5="ПлазПистолет ",$K$50,IF(F5="ПлазГан",$K$51,IF(F5="ПлазПушка",$K$52,IF(F5="Глюонный пистолет",$K$53,IF(F5="Глюонная винтовка",$K$54,IF(F5="Глюонная пушка",$K$55,"")))))))))))))))))))</f>
        <v/>
      </c>
      <c r="R5" s="11">
        <f t="shared" si="2"/>
        <v>0</v>
      </c>
      <c r="S5" s="11">
        <f t="shared" si="9"/>
        <v>0</v>
      </c>
      <c r="T5" s="11" t="str">
        <f t="shared" si="3"/>
        <v/>
      </c>
      <c r="U5" s="11" t="str">
        <f t="shared" si="10"/>
        <v/>
      </c>
      <c r="V5" s="9">
        <f t="shared" si="11"/>
        <v>0</v>
      </c>
      <c r="Y5" s="10" t="str">
        <f t="shared" si="4"/>
        <v/>
      </c>
    </row>
    <row r="6" spans="1:25" x14ac:dyDescent="0.25">
      <c r="A6" s="153"/>
      <c r="B6" s="9">
        <v>5</v>
      </c>
      <c r="C6" s="9"/>
      <c r="D6" s="9"/>
      <c r="E6" s="9"/>
      <c r="F6" s="9" t="s">
        <v>31</v>
      </c>
      <c r="G6" s="9"/>
      <c r="H6" s="9" t="s">
        <v>30</v>
      </c>
      <c r="I6" s="9" t="str">
        <f t="shared" si="5"/>
        <v/>
      </c>
      <c r="J6" s="9" t="str">
        <f t="shared" si="12"/>
        <v/>
      </c>
      <c r="K6" s="10" t="str">
        <f t="shared" si="0"/>
        <v/>
      </c>
      <c r="L6" s="10" t="str">
        <f t="shared" si="1"/>
        <v/>
      </c>
      <c r="M6" s="10" t="s">
        <v>31</v>
      </c>
      <c r="N6" s="10">
        <f t="shared" si="6"/>
        <v>2</v>
      </c>
      <c r="O6" s="10" t="str">
        <f t="shared" si="7"/>
        <v/>
      </c>
      <c r="P6" s="11" t="str">
        <f t="shared" si="8"/>
        <v/>
      </c>
      <c r="Q6" s="11" t="str">
        <f>IF(F6="Пистолет",$K$37,IF(F6="Пистолет-пулемёт",$K$38,IF(F6="Дробовик",$K$39,IF(F6="Автомат",$K$40,IF(F6="Штурмовой карабин",$K$41,IF(F6="Снайперская Винтовка",$K$42,IF(F6="Пулемёт",$K$43,IF(F6="Гранатомёт/ракетница",$K$44,IF(F6="Противотанокое ружьё",$K$45,IF(F6="Огнемёт",$K$46,IF(F6="ЛазПистолет",$K$47,IF(F6="ЛазГан",$K$48,IF(F6="ЛазПушка",$K$49,IF(F6="ПлазПистолет ",$K$50,IF(F6="ПлазГан",$K$51,IF(F6="ПлазПушка",$K$52,IF(F6="Глюонный пистолет",$K$53,IF(F6="Глюонная винтовка",$K$54,IF(F6="Глюонная пушка",$K$55,"")))))))))))))))))))</f>
        <v/>
      </c>
      <c r="R6" s="11">
        <f>IF(H6="Без оружия",$J$64,IF(H6="Нож",$J$65,IF(H6="Холодное оружие",$J$66,IF(H6="Пило/Электро",$J$67,IF(H6="Двуручное оружие ББ",$J$68,IF(H6="Тяжёлое стрелковое",$J$69,""))))))</f>
        <v>0</v>
      </c>
      <c r="S6" s="11">
        <f t="shared" si="9"/>
        <v>0</v>
      </c>
      <c r="T6" s="11" t="str">
        <f t="shared" si="3"/>
        <v/>
      </c>
      <c r="U6" s="11" t="str">
        <f t="shared" si="10"/>
        <v/>
      </c>
      <c r="V6" s="9">
        <f t="shared" si="11"/>
        <v>0</v>
      </c>
      <c r="Y6" s="10" t="str">
        <f t="shared" si="4"/>
        <v/>
      </c>
    </row>
    <row r="7" spans="1:25" x14ac:dyDescent="0.25">
      <c r="A7" s="153"/>
      <c r="B7" s="9">
        <v>6</v>
      </c>
      <c r="C7" s="9"/>
      <c r="D7" s="9"/>
      <c r="E7" s="9"/>
      <c r="F7" s="9" t="s">
        <v>31</v>
      </c>
      <c r="G7" s="9"/>
      <c r="H7" s="9" t="s">
        <v>30</v>
      </c>
      <c r="I7" s="9" t="str">
        <f t="shared" si="5"/>
        <v/>
      </c>
      <c r="J7" s="9" t="str">
        <f t="shared" si="12"/>
        <v/>
      </c>
      <c r="K7" s="10" t="str">
        <f t="shared" si="0"/>
        <v/>
      </c>
      <c r="L7" s="10" t="str">
        <f t="shared" si="1"/>
        <v/>
      </c>
      <c r="M7" s="10" t="s">
        <v>31</v>
      </c>
      <c r="N7" s="10">
        <f t="shared" si="6"/>
        <v>2</v>
      </c>
      <c r="O7" s="10" t="str">
        <f>IF(E7="Одежда",IF(C7="Мутант",3,$F$24),IF(E7="Шлем, лёгкая кирасса",IF(C7="Мутант",4,$F$25),IF(E7="Тяжёлая кирасса, напленики",IF(C7="Мутант",5,$F$26),IF(E7="Киборг",$F$27,IF(E7="Шлем, лёгкая кирасса, щит",IF(C7="Мутант",6,$F$28),IF(E7="Тяжёлый пехотный доспех",IF(C7="Мутант",6,$F$29),IF(E7="Фелицианский лёгкий бронекостюм",$F$30,IF(E7="Киборг в лёгкой броне",$F$31,IF(E7="Бронекостюм",IF(C7="Мутант",6,$F$32),IF(E7="Киборг в тяжёлой броне",$F$33,IF(E7="Экзоскилет",$F$34,"")))))))))))</f>
        <v/>
      </c>
      <c r="P7" s="11" t="str">
        <f t="shared" si="8"/>
        <v/>
      </c>
      <c r="Q7" s="11" t="str">
        <f>IF(F7="Пистолет",$K$37,IF(F7="Пистолет-пулемёт",$K$38,IF(F7="Дробовик",$K$39,IF(F7="Автомат",$K$40,IF(F7="Штурмовой карабин",$K$41,IF(F7="Снайперская Винтовка",$K$42,IF(F7="Пулемёт",$K$43,IF(F7="Гранатомёт/ракетница",$K$44,IF(F7="Противотанокое ружьё",$K$45,IF(F7="Огнемёт",$K$46,IF(F7="ЛазПистолет",$K$47,IF(F7="ЛазГан",$K$48,IF(F7="ЛазПушка",$K$49,IF(F7="ПлазПистолет ",$K$50,IF(F7="ПлазГан",$K$51,IF(F7="ПлазПушка",$K$52,IF(F7="Глюонный пистолет",$K$53,IF(F7="Глюонная винтовка",$K$54,IF(F7="Глюонная пушка",$K$55,"")))))))))))))))))))</f>
        <v/>
      </c>
      <c r="R7" s="11">
        <f t="shared" ref="R7" si="13">IF(H7="Без оружия",$J$64,IF(H7="Нож",$J$65,IF(H7="Холодное оружие",$J$66,IF(H7="Пило/Электро",$J$67,IF(H7="Двуручное оружие ББ",$J$68,IF(H7="Тяжёлое стрелковое",$J$69,""))))))</f>
        <v>0</v>
      </c>
      <c r="S7" s="11">
        <f t="shared" si="9"/>
        <v>0</v>
      </c>
      <c r="T7" s="11" t="str">
        <f t="shared" si="3"/>
        <v/>
      </c>
      <c r="U7" s="11" t="str">
        <f t="shared" si="10"/>
        <v/>
      </c>
      <c r="V7" s="9">
        <f t="shared" si="11"/>
        <v>0</v>
      </c>
      <c r="Y7" s="12" t="str">
        <f t="shared" si="4"/>
        <v/>
      </c>
    </row>
    <row r="8" spans="1:25" ht="19.5" hidden="1" thickBot="1" x14ac:dyDescent="0.3">
      <c r="N8" s="22" t="str">
        <f>IF(H8="Без оружия",IF(C8="Мутант",4, IF(E8="Экзоскилет",3, IF(D8="Элитный тяжёлый отряд",3,IF(D8="Спецназ",3, IF(C8="Клон",3, $I$64))))),IF(H8="Приклад",IF(C8="Мутант",4,IF(E8="Экзоскилет",4, IF(D8="Элитный тяжёлый отряд",4,IF(D8="Спецназ",4, IF(C8="Клон",3, $I$64))))),IF(H8="Нож",IF(C8="Мутант",4,IF(E8="Экзоскилет",4, IF(D8="Элитный тяжёлый отряд",4,IF(D8="Спецназ",4, IF(C8="Клон",3, $I$65))))),IF(H8="Холодное оружие",IF(C8="Мутант",6, IF(E8="Экзоскилет",5, IF(D8="Элитный тяжёлый отряд",5,IF(D8="Спецназ",5, IF(C8="Клон",5, $I$66))))),IF(H8="Пило/Электро",IF(C8="Мутант",7, IF(E8="Экзоскилет",6, IF(D8="Элитный тяжёлый отряд",6,IF(D8="Спецназ",7, IF(C8="Клон",6, $I$67))))),IF(H8="Двуручное оружие ББ",IF(E8="Экзоскилет",7, IF(D8="Элитный тяжёлый отряд",7,IF(D8="Спецназ",7, IF(C8="Клон",7, IF(C8="Мутант",7, $I$68))))),IF(H8="Тяжёлое стрелковое",IF(E8="Экзоскилет",3, $I$69),"")))))))</f>
        <v/>
      </c>
      <c r="Y8" s="15">
        <f>SUM(Y2:Y7)</f>
        <v>0</v>
      </c>
    </row>
    <row r="9" spans="1:25" ht="15.75" hidden="1" thickBot="1" x14ac:dyDescent="0.3">
      <c r="Y9" s="14"/>
    </row>
    <row r="10" spans="1:25" ht="15.75" hidden="1" thickBot="1" x14ac:dyDescent="0.3">
      <c r="C10" s="16" t="s">
        <v>36</v>
      </c>
      <c r="D10" s="16" t="s">
        <v>37</v>
      </c>
      <c r="E10" s="16" t="s">
        <v>38</v>
      </c>
      <c r="F10" s="16" t="s">
        <v>39</v>
      </c>
      <c r="G10" s="17" t="s">
        <v>40</v>
      </c>
      <c r="H10" s="18" t="s">
        <v>41</v>
      </c>
      <c r="M10" s="10" t="s">
        <v>42</v>
      </c>
      <c r="N10" s="10" t="s">
        <v>43</v>
      </c>
      <c r="Y10" s="14"/>
    </row>
    <row r="11" spans="1:25" ht="15.75" hidden="1" thickBot="1" x14ac:dyDescent="0.3">
      <c r="C11" s="19" t="s">
        <v>25</v>
      </c>
      <c r="D11" s="20">
        <v>0</v>
      </c>
      <c r="E11" s="20">
        <v>0</v>
      </c>
      <c r="F11" s="20">
        <v>0</v>
      </c>
      <c r="G11" s="21">
        <v>0</v>
      </c>
      <c r="H11" s="18">
        <v>20</v>
      </c>
      <c r="M11" s="10" t="s">
        <v>44</v>
      </c>
      <c r="N11" s="22">
        <v>10</v>
      </c>
      <c r="Y11" s="14"/>
    </row>
    <row r="12" spans="1:25" ht="15.75" hidden="1" thickBot="1" x14ac:dyDescent="0.3">
      <c r="C12" s="23" t="s">
        <v>45</v>
      </c>
      <c r="D12" s="24">
        <v>-1</v>
      </c>
      <c r="E12" s="24">
        <v>0</v>
      </c>
      <c r="F12" s="24">
        <v>0</v>
      </c>
      <c r="G12" s="25">
        <v>1</v>
      </c>
      <c r="H12" s="18">
        <v>10</v>
      </c>
      <c r="M12" s="10" t="s">
        <v>46</v>
      </c>
      <c r="N12" s="22">
        <v>20</v>
      </c>
      <c r="Y12" s="14"/>
    </row>
    <row r="13" spans="1:25" ht="15.75" hidden="1" thickBot="1" x14ac:dyDescent="0.3">
      <c r="C13" s="26" t="s">
        <v>47</v>
      </c>
      <c r="D13" s="27">
        <v>0</v>
      </c>
      <c r="E13" s="27">
        <v>0</v>
      </c>
      <c r="F13" s="27">
        <v>1</v>
      </c>
      <c r="G13" s="28">
        <v>0</v>
      </c>
      <c r="H13" s="18">
        <v>30</v>
      </c>
      <c r="M13" s="10" t="s">
        <v>48</v>
      </c>
      <c r="N13" s="22">
        <v>30</v>
      </c>
      <c r="Y13" s="14"/>
    </row>
    <row r="14" spans="1:25" ht="15.75" hidden="1" thickBot="1" x14ac:dyDescent="0.3">
      <c r="C14" s="29" t="s">
        <v>49</v>
      </c>
      <c r="D14" s="30">
        <v>0</v>
      </c>
      <c r="E14" s="30">
        <v>0</v>
      </c>
      <c r="F14" s="30">
        <v>2</v>
      </c>
      <c r="G14" s="31">
        <v>2</v>
      </c>
      <c r="H14" s="18">
        <v>40</v>
      </c>
      <c r="M14" s="10" t="s">
        <v>50</v>
      </c>
      <c r="N14" s="22">
        <v>40</v>
      </c>
      <c r="Y14" s="14"/>
    </row>
    <row r="15" spans="1:25" hidden="1" x14ac:dyDescent="0.25">
      <c r="M15" s="10" t="s">
        <v>31</v>
      </c>
      <c r="N15" s="22">
        <v>0</v>
      </c>
      <c r="Y15" s="14"/>
    </row>
    <row r="16" spans="1:25" hidden="1" x14ac:dyDescent="0.25">
      <c r="D16" s="9" t="s">
        <v>3</v>
      </c>
      <c r="E16" s="10" t="s">
        <v>8</v>
      </c>
      <c r="F16" s="22" t="s">
        <v>43</v>
      </c>
      <c r="Y16" s="14"/>
    </row>
    <row r="17" spans="4:25" hidden="1" x14ac:dyDescent="0.25">
      <c r="D17" s="9" t="s">
        <v>51</v>
      </c>
      <c r="E17" s="10">
        <v>5</v>
      </c>
      <c r="F17" s="22">
        <v>50</v>
      </c>
      <c r="V17" s="32"/>
      <c r="Y17" s="14"/>
    </row>
    <row r="18" spans="4:25" hidden="1" x14ac:dyDescent="0.25">
      <c r="D18" s="9" t="s">
        <v>52</v>
      </c>
      <c r="E18" s="10">
        <v>4</v>
      </c>
      <c r="F18" s="22">
        <v>30</v>
      </c>
      <c r="V18" s="32"/>
      <c r="Y18" s="14"/>
    </row>
    <row r="19" spans="4:25" hidden="1" x14ac:dyDescent="0.25">
      <c r="D19" s="9" t="s">
        <v>53</v>
      </c>
      <c r="E19" s="10">
        <v>3</v>
      </c>
      <c r="F19" s="22">
        <v>20</v>
      </c>
      <c r="V19" s="32"/>
      <c r="Y19" s="14"/>
    </row>
    <row r="20" spans="4:25" hidden="1" x14ac:dyDescent="0.25">
      <c r="D20" s="9" t="s">
        <v>26</v>
      </c>
      <c r="E20" s="10">
        <v>2</v>
      </c>
      <c r="F20" s="22">
        <v>15</v>
      </c>
      <c r="V20" s="32"/>
      <c r="Y20" s="14"/>
    </row>
    <row r="21" spans="4:25" hidden="1" x14ac:dyDescent="0.25">
      <c r="D21" s="9" t="s">
        <v>54</v>
      </c>
      <c r="E21" s="10">
        <v>1</v>
      </c>
      <c r="F21" s="22">
        <v>5</v>
      </c>
      <c r="V21" s="32"/>
      <c r="Y21" s="14"/>
    </row>
    <row r="22" spans="4:25" hidden="1" x14ac:dyDescent="0.25">
      <c r="V22" s="32"/>
      <c r="Y22" s="14"/>
    </row>
    <row r="23" spans="4:25" hidden="1" x14ac:dyDescent="0.25">
      <c r="E23" s="9" t="s">
        <v>55</v>
      </c>
      <c r="F23" s="10" t="s">
        <v>14</v>
      </c>
      <c r="G23" s="33" t="s">
        <v>9</v>
      </c>
      <c r="H23" s="34" t="s">
        <v>43</v>
      </c>
      <c r="V23" s="32"/>
      <c r="Y23" s="14"/>
    </row>
    <row r="24" spans="4:25" hidden="1" x14ac:dyDescent="0.25">
      <c r="E24" s="9" t="s">
        <v>27</v>
      </c>
      <c r="F24" s="10">
        <v>1</v>
      </c>
      <c r="G24" s="10">
        <v>5</v>
      </c>
      <c r="H24" s="34">
        <v>0</v>
      </c>
      <c r="Q24" s="14" t="str">
        <f>IF(Y8&lt;2,"","")</f>
        <v/>
      </c>
      <c r="Y24" s="14"/>
    </row>
    <row r="25" spans="4:25" hidden="1" x14ac:dyDescent="0.25">
      <c r="E25" s="9" t="s">
        <v>56</v>
      </c>
      <c r="F25" s="10">
        <v>2</v>
      </c>
      <c r="G25" s="10">
        <v>5</v>
      </c>
      <c r="H25" s="34">
        <v>20</v>
      </c>
      <c r="Y25" s="14"/>
    </row>
    <row r="26" spans="4:25" hidden="1" x14ac:dyDescent="0.25">
      <c r="E26" s="11" t="s">
        <v>57</v>
      </c>
      <c r="F26" s="10">
        <v>3</v>
      </c>
      <c r="G26" s="33">
        <v>5</v>
      </c>
      <c r="H26" s="34">
        <v>60</v>
      </c>
      <c r="Y26" s="14"/>
    </row>
    <row r="27" spans="4:25" hidden="1" x14ac:dyDescent="0.25">
      <c r="E27" s="35" t="s">
        <v>47</v>
      </c>
      <c r="F27" s="10">
        <v>4</v>
      </c>
      <c r="G27" s="33">
        <v>4</v>
      </c>
      <c r="H27" s="34">
        <v>90</v>
      </c>
      <c r="Y27" s="14"/>
    </row>
    <row r="28" spans="4:25" hidden="1" x14ac:dyDescent="0.25">
      <c r="E28" s="9" t="s">
        <v>58</v>
      </c>
      <c r="F28" s="10">
        <v>4</v>
      </c>
      <c r="G28" s="33">
        <v>4</v>
      </c>
      <c r="H28" s="34">
        <v>40</v>
      </c>
      <c r="Y28" s="14"/>
    </row>
    <row r="29" spans="4:25" hidden="1" x14ac:dyDescent="0.25">
      <c r="E29" s="9" t="s">
        <v>59</v>
      </c>
      <c r="F29" s="10">
        <v>4</v>
      </c>
      <c r="G29" s="33">
        <v>4</v>
      </c>
      <c r="H29" s="34">
        <v>80</v>
      </c>
      <c r="Y29" s="14"/>
    </row>
    <row r="30" spans="4:25" hidden="1" x14ac:dyDescent="0.25">
      <c r="E30" s="9" t="s">
        <v>60</v>
      </c>
      <c r="F30" s="10">
        <v>3</v>
      </c>
      <c r="G30" s="33">
        <v>6</v>
      </c>
      <c r="H30" s="34">
        <v>100</v>
      </c>
      <c r="Y30" s="14"/>
    </row>
    <row r="31" spans="4:25" hidden="1" x14ac:dyDescent="0.25">
      <c r="E31" s="36" t="s">
        <v>61</v>
      </c>
      <c r="F31" s="10">
        <v>3</v>
      </c>
      <c r="G31" s="33">
        <v>5</v>
      </c>
      <c r="H31" s="34">
        <v>30</v>
      </c>
      <c r="Y31" s="14"/>
    </row>
    <row r="32" spans="4:25" hidden="1" x14ac:dyDescent="0.25">
      <c r="E32" s="11" t="s">
        <v>62</v>
      </c>
      <c r="F32" s="10">
        <v>5</v>
      </c>
      <c r="G32" s="33">
        <v>4</v>
      </c>
      <c r="H32" s="34">
        <v>100</v>
      </c>
      <c r="Y32" s="14"/>
    </row>
    <row r="33" spans="1:27" hidden="1" x14ac:dyDescent="0.25">
      <c r="E33" s="36" t="s">
        <v>63</v>
      </c>
      <c r="F33" s="10">
        <v>5</v>
      </c>
      <c r="G33" s="33">
        <v>4</v>
      </c>
      <c r="H33" s="34">
        <v>120</v>
      </c>
      <c r="Y33" s="14"/>
    </row>
    <row r="34" spans="1:27" s="8" customFormat="1" hidden="1" x14ac:dyDescent="0.25">
      <c r="A34" s="13"/>
      <c r="D34" s="13"/>
      <c r="E34" s="37" t="s">
        <v>64</v>
      </c>
      <c r="F34" s="10">
        <v>6</v>
      </c>
      <c r="G34" s="10">
        <v>3</v>
      </c>
      <c r="H34" s="38">
        <v>140</v>
      </c>
      <c r="P34" s="13"/>
      <c r="Q34" s="13"/>
      <c r="R34" s="13"/>
      <c r="S34" s="13"/>
      <c r="T34" s="13"/>
      <c r="U34" s="13"/>
      <c r="Y34" s="13"/>
    </row>
    <row r="35" spans="1:27" ht="37.5" hidden="1" customHeight="1" thickBot="1" x14ac:dyDescent="0.3">
      <c r="P35" s="154" t="s">
        <v>65</v>
      </c>
      <c r="Q35" s="154"/>
      <c r="R35" s="154"/>
      <c r="V35" s="154" t="s">
        <v>65</v>
      </c>
      <c r="W35" s="154"/>
      <c r="X35" s="154"/>
      <c r="Y35" s="14"/>
    </row>
    <row r="36" spans="1:27" s="8" customFormat="1" ht="37.5" hidden="1" customHeight="1" thickBot="1" x14ac:dyDescent="0.3">
      <c r="A36" s="13"/>
      <c r="B36" s="22" t="s">
        <v>66</v>
      </c>
      <c r="C36" s="22" t="s">
        <v>67</v>
      </c>
      <c r="D36" s="22" t="s">
        <v>68</v>
      </c>
      <c r="F36" s="39" t="s">
        <v>69</v>
      </c>
      <c r="G36" s="39" t="s">
        <v>70</v>
      </c>
      <c r="H36" s="39" t="s">
        <v>11</v>
      </c>
      <c r="I36" s="40" t="s">
        <v>67</v>
      </c>
      <c r="J36" s="40" t="s">
        <v>68</v>
      </c>
      <c r="K36" s="40" t="s">
        <v>71</v>
      </c>
      <c r="M36" s="41" t="s">
        <v>72</v>
      </c>
      <c r="N36" s="41" t="s">
        <v>73</v>
      </c>
      <c r="O36" s="42"/>
      <c r="P36" s="43" t="s">
        <v>74</v>
      </c>
      <c r="Q36" s="44" t="s">
        <v>75</v>
      </c>
      <c r="R36" s="45" t="s">
        <v>76</v>
      </c>
      <c r="S36" s="46" t="s">
        <v>67</v>
      </c>
      <c r="T36" s="47" t="s">
        <v>77</v>
      </c>
      <c r="U36" s="47" t="s">
        <v>78</v>
      </c>
      <c r="V36" s="48" t="s">
        <v>79</v>
      </c>
      <c r="W36" s="44" t="s">
        <v>80</v>
      </c>
      <c r="X36" s="49" t="s">
        <v>81</v>
      </c>
      <c r="Y36" s="46" t="s">
        <v>67</v>
      </c>
      <c r="Z36" s="47" t="s">
        <v>77</v>
      </c>
      <c r="AA36" s="47" t="s">
        <v>78</v>
      </c>
    </row>
    <row r="37" spans="1:27" hidden="1" x14ac:dyDescent="0.25">
      <c r="B37" s="50" t="s">
        <v>82</v>
      </c>
      <c r="C37" s="51">
        <v>5</v>
      </c>
      <c r="D37" s="51">
        <v>10</v>
      </c>
      <c r="F37" s="52" t="s">
        <v>83</v>
      </c>
      <c r="G37" s="53" t="s">
        <v>82</v>
      </c>
      <c r="H37" s="54" t="s">
        <v>82</v>
      </c>
      <c r="I37" s="55">
        <f>S37*U37+T37</f>
        <v>5</v>
      </c>
      <c r="J37" s="56">
        <f t="shared" ref="J37:J55" si="14">Y37*AA37+Z37</f>
        <v>10</v>
      </c>
      <c r="K37" s="57">
        <f t="shared" ref="K37:K55" si="15">J37+I37</f>
        <v>15</v>
      </c>
      <c r="M37" s="58" t="s">
        <v>84</v>
      </c>
      <c r="N37" s="50" t="s">
        <v>85</v>
      </c>
      <c r="O37" s="42"/>
      <c r="P37" s="59" t="s">
        <v>82</v>
      </c>
      <c r="Q37" s="60" t="s">
        <v>86</v>
      </c>
      <c r="R37" s="61" t="s">
        <v>86</v>
      </c>
      <c r="S37" s="62">
        <f>IF(P37="Д6",$C$37,IF(P37="Д12",$C$38,IF(P37="Д20",$C$39,"")))</f>
        <v>5</v>
      </c>
      <c r="T37" s="62">
        <f>IF(Q37="х",$D$42,IF(Q37="х+1",$C$43,IF(Q37="х+2",$C$44,IF(Q37="х+3",$C$45,""))))</f>
        <v>0</v>
      </c>
      <c r="U37" s="62">
        <f>IF(R37="х",$C$42,IF(R37="2х",$C$40,IF(R37="3х",$C$41,"")))</f>
        <v>1</v>
      </c>
      <c r="V37" s="63" t="s">
        <v>82</v>
      </c>
      <c r="W37" s="60" t="s">
        <v>86</v>
      </c>
      <c r="X37" s="60" t="s">
        <v>86</v>
      </c>
      <c r="Y37" s="62">
        <f t="shared" ref="Y37:Y55" si="16">IF(V37="Д6",$D$37,IF(V37="Д12",$D$38,IF(V37="Д20",$D$39,"")))</f>
        <v>10</v>
      </c>
      <c r="Z37" s="62">
        <f t="shared" ref="Z37:Z55" si="17">IF(W37="х",$D$42,IF(W37="х+1",$D$43,IF(W37="х+2",$D$44,IF(W37="х+3",$D$45,""))))</f>
        <v>0</v>
      </c>
      <c r="AA37" s="62">
        <f t="shared" ref="AA37:AA55" si="18">IF(X37="х",$C$42,IF(X37="2х",$D$40,IF(X37="3х",$D$41,"")))</f>
        <v>1</v>
      </c>
    </row>
    <row r="38" spans="1:27" hidden="1" x14ac:dyDescent="0.25">
      <c r="B38" s="64" t="s">
        <v>87</v>
      </c>
      <c r="C38" s="51">
        <v>20</v>
      </c>
      <c r="D38" s="51">
        <v>40</v>
      </c>
      <c r="F38" s="65" t="s">
        <v>28</v>
      </c>
      <c r="G38" s="66" t="s">
        <v>82</v>
      </c>
      <c r="H38" s="67" t="s">
        <v>85</v>
      </c>
      <c r="I38" s="68">
        <f t="shared" ref="I38:I55" si="19">S38*U38+T38</f>
        <v>5</v>
      </c>
      <c r="J38" s="56">
        <f t="shared" si="14"/>
        <v>20</v>
      </c>
      <c r="K38" s="69">
        <f t="shared" si="15"/>
        <v>25</v>
      </c>
      <c r="M38" s="58" t="s">
        <v>88</v>
      </c>
      <c r="N38" s="64" t="s">
        <v>89</v>
      </c>
      <c r="O38" s="42"/>
      <c r="P38" s="70" t="s">
        <v>82</v>
      </c>
      <c r="Q38" s="71" t="s">
        <v>86</v>
      </c>
      <c r="R38" s="72" t="s">
        <v>86</v>
      </c>
      <c r="S38" s="73">
        <f t="shared" ref="S38:S55" si="20">IF(P38="Д6",$C$37,IF(P38="Д12",$C$38,IF(P38="Д20",$C$39,"")))</f>
        <v>5</v>
      </c>
      <c r="T38" s="73">
        <f>IF(Q38="х",$D$42,IF(Q38="х+1",$C$43,IF(Q38="х+2",$C$44,IF(Q38="х+3",$C$45,""))))</f>
        <v>0</v>
      </c>
      <c r="U38" s="73">
        <f>IF(R38="х",$C$42,IF(R38="2х",$C$40,IF(R38="3х",$C$41,"")))</f>
        <v>1</v>
      </c>
      <c r="V38" s="74" t="s">
        <v>82</v>
      </c>
      <c r="W38" s="71" t="s">
        <v>86</v>
      </c>
      <c r="X38" s="71" t="s">
        <v>90</v>
      </c>
      <c r="Y38" s="73">
        <f>IF(V38="Д6",$D$37,IF(V38="Д12",$D$38,IF(V38="Д20",$D$39,"")))</f>
        <v>10</v>
      </c>
      <c r="Z38" s="73">
        <f>IF(W38="х",$D$42,IF(W38="х+1",$D$43,IF(W38="х+2",$D$44,IF(W38="х+3",$D$45,""))))</f>
        <v>0</v>
      </c>
      <c r="AA38" s="73">
        <f t="shared" si="18"/>
        <v>2</v>
      </c>
    </row>
    <row r="39" spans="1:27" hidden="1" x14ac:dyDescent="0.25">
      <c r="B39" s="64" t="s">
        <v>91</v>
      </c>
      <c r="C39" s="51">
        <v>40</v>
      </c>
      <c r="D39" s="51">
        <v>80</v>
      </c>
      <c r="F39" s="75" t="s">
        <v>92</v>
      </c>
      <c r="G39" s="76" t="s">
        <v>82</v>
      </c>
      <c r="H39" s="77" t="s">
        <v>89</v>
      </c>
      <c r="I39" s="68">
        <f t="shared" si="19"/>
        <v>5</v>
      </c>
      <c r="J39" s="78">
        <f>Y39*AA39+Z39</f>
        <v>30</v>
      </c>
      <c r="K39" s="69">
        <f t="shared" si="15"/>
        <v>35</v>
      </c>
      <c r="N39" s="64" t="s">
        <v>93</v>
      </c>
      <c r="O39" s="42"/>
      <c r="P39" s="70" t="s">
        <v>82</v>
      </c>
      <c r="Q39" s="71" t="s">
        <v>86</v>
      </c>
      <c r="R39" s="72" t="s">
        <v>86</v>
      </c>
      <c r="S39" s="73">
        <f t="shared" si="20"/>
        <v>5</v>
      </c>
      <c r="T39" s="73">
        <f t="shared" ref="T39:T55" si="21">IF(Q39="х",$D$42,IF(Q39="х+1",$C$43,IF(Q39="х+2",$C$44,IF(Q39="х+3",$C$45,""))))</f>
        <v>0</v>
      </c>
      <c r="U39" s="73">
        <f t="shared" ref="U39:U55" si="22">IF(R39="х",$C$42,IF(R39="2х",$C$40,IF(R39="3х",$C$41,"")))</f>
        <v>1</v>
      </c>
      <c r="V39" s="74" t="s">
        <v>82</v>
      </c>
      <c r="W39" s="71" t="s">
        <v>86</v>
      </c>
      <c r="X39" s="71" t="s">
        <v>94</v>
      </c>
      <c r="Y39" s="73">
        <f t="shared" si="16"/>
        <v>10</v>
      </c>
      <c r="Z39" s="73">
        <f t="shared" si="17"/>
        <v>0</v>
      </c>
      <c r="AA39" s="73">
        <f t="shared" si="18"/>
        <v>3</v>
      </c>
    </row>
    <row r="40" spans="1:27" ht="15.75" hidden="1" thickBot="1" x14ac:dyDescent="0.3">
      <c r="A40" s="155" t="s">
        <v>95</v>
      </c>
      <c r="B40" s="50" t="s">
        <v>90</v>
      </c>
      <c r="C40" s="10">
        <v>2</v>
      </c>
      <c r="D40" s="10">
        <v>2</v>
      </c>
      <c r="F40" s="79" t="s">
        <v>96</v>
      </c>
      <c r="G40" s="80" t="s">
        <v>87</v>
      </c>
      <c r="H40" s="81" t="s">
        <v>85</v>
      </c>
      <c r="I40" s="82">
        <f t="shared" si="19"/>
        <v>20</v>
      </c>
      <c r="J40" s="83">
        <f t="shared" si="14"/>
        <v>20</v>
      </c>
      <c r="K40" s="84">
        <f t="shared" si="15"/>
        <v>40</v>
      </c>
      <c r="N40" s="64" t="s">
        <v>97</v>
      </c>
      <c r="O40" s="42"/>
      <c r="P40" s="85" t="s">
        <v>87</v>
      </c>
      <c r="Q40" s="86" t="s">
        <v>86</v>
      </c>
      <c r="R40" s="87" t="s">
        <v>86</v>
      </c>
      <c r="S40" s="88">
        <f t="shared" si="20"/>
        <v>20</v>
      </c>
      <c r="T40" s="88">
        <f t="shared" si="21"/>
        <v>0</v>
      </c>
      <c r="U40" s="88">
        <f t="shared" si="22"/>
        <v>1</v>
      </c>
      <c r="V40" s="89" t="s">
        <v>82</v>
      </c>
      <c r="W40" s="86" t="s">
        <v>86</v>
      </c>
      <c r="X40" s="86" t="s">
        <v>90</v>
      </c>
      <c r="Y40" s="88">
        <f t="shared" si="16"/>
        <v>10</v>
      </c>
      <c r="Z40" s="88">
        <f t="shared" si="17"/>
        <v>0</v>
      </c>
      <c r="AA40" s="88">
        <f t="shared" si="18"/>
        <v>2</v>
      </c>
    </row>
    <row r="41" spans="1:27" hidden="1" x14ac:dyDescent="0.25">
      <c r="A41" s="155"/>
      <c r="B41" s="50" t="s">
        <v>94</v>
      </c>
      <c r="C41" s="10">
        <v>3</v>
      </c>
      <c r="D41" s="10">
        <v>3</v>
      </c>
      <c r="F41" s="90" t="s">
        <v>98</v>
      </c>
      <c r="G41" s="91" t="s">
        <v>82</v>
      </c>
      <c r="H41" s="92" t="s">
        <v>87</v>
      </c>
      <c r="I41" s="93">
        <f t="shared" si="19"/>
        <v>5</v>
      </c>
      <c r="J41" s="94">
        <f t="shared" si="14"/>
        <v>40</v>
      </c>
      <c r="K41" s="95">
        <f t="shared" si="15"/>
        <v>45</v>
      </c>
      <c r="N41" s="64" t="s">
        <v>99</v>
      </c>
      <c r="O41" s="42"/>
      <c r="P41" s="59" t="s">
        <v>82</v>
      </c>
      <c r="Q41" s="60" t="s">
        <v>86</v>
      </c>
      <c r="R41" s="61" t="s">
        <v>86</v>
      </c>
      <c r="S41" s="62">
        <f t="shared" si="20"/>
        <v>5</v>
      </c>
      <c r="T41" s="62">
        <f t="shared" si="21"/>
        <v>0</v>
      </c>
      <c r="U41" s="62">
        <f t="shared" si="22"/>
        <v>1</v>
      </c>
      <c r="V41" s="96" t="s">
        <v>87</v>
      </c>
      <c r="W41" s="97" t="s">
        <v>86</v>
      </c>
      <c r="X41" s="97" t="s">
        <v>86</v>
      </c>
      <c r="Y41" s="62">
        <f t="shared" si="16"/>
        <v>40</v>
      </c>
      <c r="Z41" s="98">
        <f t="shared" si="17"/>
        <v>0</v>
      </c>
      <c r="AA41" s="62">
        <f t="shared" si="18"/>
        <v>1</v>
      </c>
    </row>
    <row r="42" spans="1:27" ht="15" hidden="1" customHeight="1" x14ac:dyDescent="0.25">
      <c r="A42" s="99" t="s">
        <v>100</v>
      </c>
      <c r="B42" s="100" t="s">
        <v>86</v>
      </c>
      <c r="C42" s="101">
        <v>1</v>
      </c>
      <c r="D42" s="101">
        <v>0</v>
      </c>
      <c r="F42" s="75" t="s">
        <v>101</v>
      </c>
      <c r="G42" s="76" t="s">
        <v>102</v>
      </c>
      <c r="H42" s="77" t="s">
        <v>87</v>
      </c>
      <c r="I42" s="68">
        <f t="shared" si="19"/>
        <v>40</v>
      </c>
      <c r="J42" s="78">
        <f t="shared" si="14"/>
        <v>40</v>
      </c>
      <c r="K42" s="69">
        <f t="shared" si="15"/>
        <v>80</v>
      </c>
      <c r="P42" s="70" t="s">
        <v>87</v>
      </c>
      <c r="Q42" s="71" t="s">
        <v>103</v>
      </c>
      <c r="R42" s="72" t="s">
        <v>86</v>
      </c>
      <c r="S42" s="73">
        <f t="shared" si="20"/>
        <v>20</v>
      </c>
      <c r="T42" s="73">
        <f t="shared" si="21"/>
        <v>20</v>
      </c>
      <c r="U42" s="73">
        <f t="shared" si="22"/>
        <v>1</v>
      </c>
      <c r="V42" s="74" t="s">
        <v>87</v>
      </c>
      <c r="W42" s="71" t="s">
        <v>86</v>
      </c>
      <c r="X42" s="71" t="s">
        <v>86</v>
      </c>
      <c r="Y42" s="73">
        <f t="shared" si="16"/>
        <v>40</v>
      </c>
      <c r="Z42" s="73">
        <f t="shared" si="17"/>
        <v>0</v>
      </c>
      <c r="AA42" s="73">
        <f t="shared" si="18"/>
        <v>1</v>
      </c>
    </row>
    <row r="43" spans="1:27" hidden="1" x14ac:dyDescent="0.25">
      <c r="A43" s="155" t="s">
        <v>104</v>
      </c>
      <c r="B43" s="50" t="s">
        <v>105</v>
      </c>
      <c r="C43" s="10">
        <v>10</v>
      </c>
      <c r="D43" s="10">
        <v>10</v>
      </c>
      <c r="F43" s="75" t="s">
        <v>34</v>
      </c>
      <c r="G43" s="76" t="s">
        <v>87</v>
      </c>
      <c r="H43" s="77" t="s">
        <v>106</v>
      </c>
      <c r="I43" s="68">
        <f t="shared" si="19"/>
        <v>20</v>
      </c>
      <c r="J43" s="78">
        <f t="shared" si="14"/>
        <v>80</v>
      </c>
      <c r="K43" s="69">
        <f t="shared" si="15"/>
        <v>100</v>
      </c>
      <c r="P43" s="70" t="s">
        <v>87</v>
      </c>
      <c r="Q43" s="71" t="s">
        <v>86</v>
      </c>
      <c r="R43" s="72" t="s">
        <v>86</v>
      </c>
      <c r="S43" s="73">
        <f t="shared" si="20"/>
        <v>20</v>
      </c>
      <c r="T43" s="73">
        <f t="shared" si="21"/>
        <v>0</v>
      </c>
      <c r="U43" s="73">
        <f t="shared" si="22"/>
        <v>1</v>
      </c>
      <c r="V43" s="74" t="s">
        <v>87</v>
      </c>
      <c r="W43" s="71" t="s">
        <v>86</v>
      </c>
      <c r="X43" s="71" t="s">
        <v>90</v>
      </c>
      <c r="Y43" s="73">
        <f t="shared" si="16"/>
        <v>40</v>
      </c>
      <c r="Z43" s="73">
        <f t="shared" si="17"/>
        <v>0</v>
      </c>
      <c r="AA43" s="73">
        <f t="shared" si="18"/>
        <v>2</v>
      </c>
    </row>
    <row r="44" spans="1:27" hidden="1" x14ac:dyDescent="0.25">
      <c r="A44" s="155"/>
      <c r="B44" s="50" t="s">
        <v>103</v>
      </c>
      <c r="C44" s="10">
        <v>20</v>
      </c>
      <c r="D44" s="10">
        <v>20</v>
      </c>
      <c r="F44" s="75" t="s">
        <v>107</v>
      </c>
      <c r="G44" s="76" t="s">
        <v>87</v>
      </c>
      <c r="H44" s="77" t="s">
        <v>91</v>
      </c>
      <c r="I44" s="68">
        <f t="shared" si="19"/>
        <v>20</v>
      </c>
      <c r="J44" s="78">
        <f t="shared" si="14"/>
        <v>80</v>
      </c>
      <c r="K44" s="69">
        <f t="shared" si="15"/>
        <v>100</v>
      </c>
      <c r="P44" s="70" t="s">
        <v>87</v>
      </c>
      <c r="Q44" s="71" t="s">
        <v>86</v>
      </c>
      <c r="R44" s="72" t="s">
        <v>86</v>
      </c>
      <c r="S44" s="73">
        <f t="shared" si="20"/>
        <v>20</v>
      </c>
      <c r="T44" s="73">
        <f t="shared" si="21"/>
        <v>0</v>
      </c>
      <c r="U44" s="73">
        <f t="shared" si="22"/>
        <v>1</v>
      </c>
      <c r="V44" s="74" t="s">
        <v>91</v>
      </c>
      <c r="W44" s="71" t="s">
        <v>86</v>
      </c>
      <c r="X44" s="71" t="s">
        <v>86</v>
      </c>
      <c r="Y44" s="73">
        <f t="shared" si="16"/>
        <v>80</v>
      </c>
      <c r="Z44" s="73">
        <f t="shared" si="17"/>
        <v>0</v>
      </c>
      <c r="AA44" s="73">
        <f t="shared" si="18"/>
        <v>1</v>
      </c>
    </row>
    <row r="45" spans="1:27" hidden="1" x14ac:dyDescent="0.25">
      <c r="A45" s="155"/>
      <c r="B45" s="102" t="s">
        <v>108</v>
      </c>
      <c r="C45" s="12">
        <v>30</v>
      </c>
      <c r="D45" s="12">
        <v>30</v>
      </c>
      <c r="F45" s="103" t="s">
        <v>109</v>
      </c>
      <c r="G45" s="76" t="s">
        <v>91</v>
      </c>
      <c r="H45" s="77" t="s">
        <v>87</v>
      </c>
      <c r="I45" s="68">
        <f t="shared" si="19"/>
        <v>40</v>
      </c>
      <c r="J45" s="78">
        <f t="shared" si="14"/>
        <v>40</v>
      </c>
      <c r="K45" s="69">
        <f t="shared" si="15"/>
        <v>80</v>
      </c>
      <c r="P45" s="70" t="s">
        <v>91</v>
      </c>
      <c r="Q45" s="71" t="s">
        <v>86</v>
      </c>
      <c r="R45" s="72" t="s">
        <v>86</v>
      </c>
      <c r="S45" s="73">
        <f t="shared" si="20"/>
        <v>40</v>
      </c>
      <c r="T45" s="73">
        <f t="shared" si="21"/>
        <v>0</v>
      </c>
      <c r="U45" s="73">
        <f t="shared" si="22"/>
        <v>1</v>
      </c>
      <c r="V45" s="74" t="s">
        <v>87</v>
      </c>
      <c r="W45" s="71" t="s">
        <v>86</v>
      </c>
      <c r="X45" s="71" t="s">
        <v>86</v>
      </c>
      <c r="Y45" s="73">
        <f t="shared" si="16"/>
        <v>40</v>
      </c>
      <c r="Z45" s="73">
        <f t="shared" si="17"/>
        <v>0</v>
      </c>
      <c r="AA45" s="73">
        <f t="shared" si="18"/>
        <v>1</v>
      </c>
    </row>
    <row r="46" spans="1:27" ht="15.75" hidden="1" customHeight="1" thickBot="1" x14ac:dyDescent="0.3">
      <c r="B46" s="156" t="s">
        <v>110</v>
      </c>
      <c r="C46" s="156"/>
      <c r="D46" s="156"/>
      <c r="F46" s="79" t="s">
        <v>111</v>
      </c>
      <c r="G46" s="80" t="s">
        <v>82</v>
      </c>
      <c r="H46" s="81" t="s">
        <v>91</v>
      </c>
      <c r="I46" s="82">
        <f t="shared" si="19"/>
        <v>5</v>
      </c>
      <c r="J46" s="83">
        <f t="shared" si="14"/>
        <v>80</v>
      </c>
      <c r="K46" s="84">
        <f t="shared" si="15"/>
        <v>85</v>
      </c>
      <c r="P46" s="85" t="s">
        <v>82</v>
      </c>
      <c r="Q46" s="86" t="s">
        <v>86</v>
      </c>
      <c r="R46" s="87" t="s">
        <v>86</v>
      </c>
      <c r="S46" s="88">
        <f t="shared" si="20"/>
        <v>5</v>
      </c>
      <c r="T46" s="88">
        <f t="shared" si="21"/>
        <v>0</v>
      </c>
      <c r="U46" s="88">
        <f t="shared" si="22"/>
        <v>1</v>
      </c>
      <c r="V46" s="104" t="s">
        <v>91</v>
      </c>
      <c r="W46" s="105" t="s">
        <v>86</v>
      </c>
      <c r="X46" s="105" t="s">
        <v>86</v>
      </c>
      <c r="Y46" s="88">
        <f t="shared" si="16"/>
        <v>80</v>
      </c>
      <c r="Z46" s="106">
        <f t="shared" si="17"/>
        <v>0</v>
      </c>
      <c r="AA46" s="88">
        <f t="shared" si="18"/>
        <v>1</v>
      </c>
    </row>
    <row r="47" spans="1:27" ht="15.75" hidden="1" customHeight="1" x14ac:dyDescent="0.25">
      <c r="B47" s="156"/>
      <c r="C47" s="156"/>
      <c r="D47" s="156"/>
      <c r="F47" s="90" t="s">
        <v>32</v>
      </c>
      <c r="G47" s="107" t="s">
        <v>85</v>
      </c>
      <c r="H47" s="92" t="s">
        <v>112</v>
      </c>
      <c r="I47" s="93">
        <f t="shared" si="19"/>
        <v>10</v>
      </c>
      <c r="J47" s="94">
        <f t="shared" si="14"/>
        <v>20</v>
      </c>
      <c r="K47" s="95">
        <f t="shared" si="15"/>
        <v>30</v>
      </c>
      <c r="P47" s="59" t="s">
        <v>82</v>
      </c>
      <c r="Q47" s="60" t="s">
        <v>86</v>
      </c>
      <c r="R47" s="61" t="s">
        <v>90</v>
      </c>
      <c r="S47" s="62">
        <f t="shared" si="20"/>
        <v>5</v>
      </c>
      <c r="T47" s="62">
        <f t="shared" si="21"/>
        <v>0</v>
      </c>
      <c r="U47" s="62">
        <f t="shared" si="22"/>
        <v>2</v>
      </c>
      <c r="V47" s="63" t="s">
        <v>82</v>
      </c>
      <c r="W47" s="60" t="s">
        <v>105</v>
      </c>
      <c r="X47" s="60" t="s">
        <v>86</v>
      </c>
      <c r="Y47" s="62">
        <f t="shared" si="16"/>
        <v>10</v>
      </c>
      <c r="Z47" s="62">
        <f t="shared" si="17"/>
        <v>10</v>
      </c>
      <c r="AA47" s="62">
        <f t="shared" si="18"/>
        <v>1</v>
      </c>
    </row>
    <row r="48" spans="1:27" hidden="1" x14ac:dyDescent="0.25">
      <c r="B48" s="156"/>
      <c r="C48" s="156"/>
      <c r="D48" s="156"/>
      <c r="F48" s="108" t="s">
        <v>113</v>
      </c>
      <c r="G48" s="109" t="s">
        <v>106</v>
      </c>
      <c r="H48" s="77" t="s">
        <v>112</v>
      </c>
      <c r="I48" s="68">
        <f t="shared" si="19"/>
        <v>40</v>
      </c>
      <c r="J48" s="78">
        <f t="shared" si="14"/>
        <v>20</v>
      </c>
      <c r="K48" s="69">
        <f t="shared" si="15"/>
        <v>60</v>
      </c>
      <c r="P48" s="70" t="s">
        <v>87</v>
      </c>
      <c r="Q48" s="71" t="s">
        <v>86</v>
      </c>
      <c r="R48" s="72" t="s">
        <v>90</v>
      </c>
      <c r="S48" s="73">
        <f t="shared" si="20"/>
        <v>20</v>
      </c>
      <c r="T48" s="73">
        <f t="shared" si="21"/>
        <v>0</v>
      </c>
      <c r="U48" s="73">
        <f t="shared" si="22"/>
        <v>2</v>
      </c>
      <c r="V48" s="74" t="s">
        <v>82</v>
      </c>
      <c r="W48" s="71" t="s">
        <v>105</v>
      </c>
      <c r="X48" s="71" t="s">
        <v>86</v>
      </c>
      <c r="Y48" s="73">
        <f t="shared" si="16"/>
        <v>10</v>
      </c>
      <c r="Z48" s="73">
        <f t="shared" si="17"/>
        <v>10</v>
      </c>
      <c r="AA48" s="73">
        <f t="shared" si="18"/>
        <v>1</v>
      </c>
    </row>
    <row r="49" spans="6:27" ht="15.75" hidden="1" thickBot="1" x14ac:dyDescent="0.3">
      <c r="F49" s="110" t="s">
        <v>114</v>
      </c>
      <c r="G49" s="111" t="s">
        <v>106</v>
      </c>
      <c r="H49" s="81" t="s">
        <v>91</v>
      </c>
      <c r="I49" s="82">
        <f t="shared" si="19"/>
        <v>40</v>
      </c>
      <c r="J49" s="83">
        <f t="shared" si="14"/>
        <v>80</v>
      </c>
      <c r="K49" s="84">
        <f t="shared" si="15"/>
        <v>120</v>
      </c>
      <c r="P49" s="85" t="s">
        <v>87</v>
      </c>
      <c r="Q49" s="86" t="s">
        <v>86</v>
      </c>
      <c r="R49" s="87" t="s">
        <v>90</v>
      </c>
      <c r="S49" s="88">
        <f t="shared" si="20"/>
        <v>20</v>
      </c>
      <c r="T49" s="88">
        <f t="shared" si="21"/>
        <v>0</v>
      </c>
      <c r="U49" s="88">
        <f t="shared" si="22"/>
        <v>2</v>
      </c>
      <c r="V49" s="89" t="s">
        <v>91</v>
      </c>
      <c r="W49" s="86" t="s">
        <v>86</v>
      </c>
      <c r="X49" s="86" t="s">
        <v>86</v>
      </c>
      <c r="Y49" s="88">
        <f t="shared" si="16"/>
        <v>80</v>
      </c>
      <c r="Z49" s="88">
        <f t="shared" si="17"/>
        <v>0</v>
      </c>
      <c r="AA49" s="88">
        <f t="shared" si="18"/>
        <v>1</v>
      </c>
    </row>
    <row r="50" spans="6:27" hidden="1" x14ac:dyDescent="0.25">
      <c r="F50" s="112" t="s">
        <v>115</v>
      </c>
      <c r="G50" s="107" t="s">
        <v>82</v>
      </c>
      <c r="H50" s="92" t="s">
        <v>116</v>
      </c>
      <c r="I50" s="93">
        <f t="shared" si="19"/>
        <v>5</v>
      </c>
      <c r="J50" s="94">
        <f t="shared" si="14"/>
        <v>40</v>
      </c>
      <c r="K50" s="95">
        <f t="shared" si="15"/>
        <v>45</v>
      </c>
      <c r="P50" s="59" t="s">
        <v>82</v>
      </c>
      <c r="Q50" s="60" t="s">
        <v>86</v>
      </c>
      <c r="R50" s="61" t="s">
        <v>86</v>
      </c>
      <c r="S50" s="62">
        <f t="shared" si="20"/>
        <v>5</v>
      </c>
      <c r="T50" s="62">
        <f t="shared" si="21"/>
        <v>0</v>
      </c>
      <c r="U50" s="62">
        <f t="shared" si="22"/>
        <v>1</v>
      </c>
      <c r="V50" s="63" t="s">
        <v>82</v>
      </c>
      <c r="W50" s="60" t="s">
        <v>108</v>
      </c>
      <c r="X50" s="60" t="s">
        <v>86</v>
      </c>
      <c r="Y50" s="62">
        <f t="shared" si="16"/>
        <v>10</v>
      </c>
      <c r="Z50" s="62">
        <f t="shared" si="17"/>
        <v>30</v>
      </c>
      <c r="AA50" s="62">
        <f t="shared" si="18"/>
        <v>1</v>
      </c>
    </row>
    <row r="51" spans="6:27" hidden="1" x14ac:dyDescent="0.25">
      <c r="F51" s="108" t="s">
        <v>117</v>
      </c>
      <c r="G51" s="109" t="s">
        <v>87</v>
      </c>
      <c r="H51" s="77" t="s">
        <v>116</v>
      </c>
      <c r="I51" s="68">
        <f t="shared" si="19"/>
        <v>20</v>
      </c>
      <c r="J51" s="78">
        <f t="shared" si="14"/>
        <v>40</v>
      </c>
      <c r="K51" s="69">
        <f t="shared" si="15"/>
        <v>60</v>
      </c>
      <c r="P51" s="70" t="s">
        <v>87</v>
      </c>
      <c r="Q51" s="71" t="s">
        <v>86</v>
      </c>
      <c r="R51" s="72" t="s">
        <v>86</v>
      </c>
      <c r="S51" s="73">
        <f t="shared" si="20"/>
        <v>20</v>
      </c>
      <c r="T51" s="73">
        <f t="shared" si="21"/>
        <v>0</v>
      </c>
      <c r="U51" s="73">
        <f t="shared" si="22"/>
        <v>1</v>
      </c>
      <c r="V51" s="74" t="s">
        <v>82</v>
      </c>
      <c r="W51" s="71" t="s">
        <v>108</v>
      </c>
      <c r="X51" s="71" t="s">
        <v>86</v>
      </c>
      <c r="Y51" s="73">
        <f t="shared" si="16"/>
        <v>10</v>
      </c>
      <c r="Z51" s="73">
        <f t="shared" si="17"/>
        <v>30</v>
      </c>
      <c r="AA51" s="73">
        <f t="shared" si="18"/>
        <v>1</v>
      </c>
    </row>
    <row r="52" spans="6:27" ht="15.75" hidden="1" thickBot="1" x14ac:dyDescent="0.3">
      <c r="F52" s="113" t="s">
        <v>118</v>
      </c>
      <c r="G52" s="111" t="s">
        <v>87</v>
      </c>
      <c r="H52" s="81" t="s">
        <v>119</v>
      </c>
      <c r="I52" s="82">
        <f t="shared" si="19"/>
        <v>20</v>
      </c>
      <c r="J52" s="83">
        <f t="shared" si="14"/>
        <v>100</v>
      </c>
      <c r="K52" s="84">
        <f t="shared" si="15"/>
        <v>120</v>
      </c>
      <c r="P52" s="85" t="s">
        <v>87</v>
      </c>
      <c r="Q52" s="86" t="s">
        <v>86</v>
      </c>
      <c r="R52" s="87" t="s">
        <v>86</v>
      </c>
      <c r="S52" s="88">
        <f t="shared" si="20"/>
        <v>20</v>
      </c>
      <c r="T52" s="88">
        <f t="shared" si="21"/>
        <v>0</v>
      </c>
      <c r="U52" s="88">
        <f t="shared" si="22"/>
        <v>1</v>
      </c>
      <c r="V52" s="89" t="s">
        <v>91</v>
      </c>
      <c r="W52" s="86" t="s">
        <v>103</v>
      </c>
      <c r="X52" s="86" t="s">
        <v>86</v>
      </c>
      <c r="Y52" s="88">
        <f t="shared" si="16"/>
        <v>80</v>
      </c>
      <c r="Z52" s="88">
        <f t="shared" si="17"/>
        <v>20</v>
      </c>
      <c r="AA52" s="88">
        <f t="shared" si="18"/>
        <v>1</v>
      </c>
    </row>
    <row r="53" spans="6:27" hidden="1" x14ac:dyDescent="0.25">
      <c r="F53" s="114" t="s">
        <v>120</v>
      </c>
      <c r="G53" s="91" t="s">
        <v>82</v>
      </c>
      <c r="H53" s="92" t="s">
        <v>97</v>
      </c>
      <c r="I53" s="93">
        <f t="shared" si="19"/>
        <v>5</v>
      </c>
      <c r="J53" s="94">
        <f t="shared" si="14"/>
        <v>50</v>
      </c>
      <c r="K53" s="95">
        <f t="shared" si="15"/>
        <v>55</v>
      </c>
      <c r="P53" s="59" t="s">
        <v>82</v>
      </c>
      <c r="Q53" s="60" t="s">
        <v>86</v>
      </c>
      <c r="R53" s="61" t="s">
        <v>86</v>
      </c>
      <c r="S53" s="62">
        <f t="shared" si="20"/>
        <v>5</v>
      </c>
      <c r="T53" s="62">
        <f t="shared" si="21"/>
        <v>0</v>
      </c>
      <c r="U53" s="62">
        <f t="shared" si="22"/>
        <v>1</v>
      </c>
      <c r="V53" s="63" t="s">
        <v>82</v>
      </c>
      <c r="W53" s="60" t="s">
        <v>108</v>
      </c>
      <c r="X53" s="60" t="s">
        <v>90</v>
      </c>
      <c r="Y53" s="62">
        <f t="shared" si="16"/>
        <v>10</v>
      </c>
      <c r="Z53" s="62">
        <f t="shared" si="17"/>
        <v>30</v>
      </c>
      <c r="AA53" s="62">
        <f t="shared" si="18"/>
        <v>2</v>
      </c>
    </row>
    <row r="54" spans="6:27" hidden="1" x14ac:dyDescent="0.25">
      <c r="F54" s="103" t="s">
        <v>121</v>
      </c>
      <c r="G54" s="76" t="s">
        <v>87</v>
      </c>
      <c r="H54" s="77" t="s">
        <v>99</v>
      </c>
      <c r="I54" s="68">
        <f t="shared" si="19"/>
        <v>5</v>
      </c>
      <c r="J54" s="78">
        <f t="shared" si="14"/>
        <v>60</v>
      </c>
      <c r="K54" s="69">
        <f t="shared" si="15"/>
        <v>65</v>
      </c>
      <c r="P54" s="70" t="s">
        <v>82</v>
      </c>
      <c r="Q54" s="71" t="s">
        <v>86</v>
      </c>
      <c r="R54" s="72" t="s">
        <v>86</v>
      </c>
      <c r="S54" s="73">
        <f t="shared" si="20"/>
        <v>5</v>
      </c>
      <c r="T54" s="73">
        <f t="shared" si="21"/>
        <v>0</v>
      </c>
      <c r="U54" s="73">
        <f t="shared" si="22"/>
        <v>1</v>
      </c>
      <c r="V54" s="74" t="s">
        <v>82</v>
      </c>
      <c r="W54" s="71" t="s">
        <v>108</v>
      </c>
      <c r="X54" s="71" t="s">
        <v>94</v>
      </c>
      <c r="Y54" s="73">
        <f t="shared" si="16"/>
        <v>10</v>
      </c>
      <c r="Z54" s="73">
        <f t="shared" si="17"/>
        <v>30</v>
      </c>
      <c r="AA54" s="73">
        <f t="shared" si="18"/>
        <v>3</v>
      </c>
    </row>
    <row r="55" spans="6:27" ht="15.75" hidden="1" thickBot="1" x14ac:dyDescent="0.3">
      <c r="F55" s="115" t="s">
        <v>122</v>
      </c>
      <c r="G55" s="80" t="s">
        <v>87</v>
      </c>
      <c r="H55" s="81" t="s">
        <v>102</v>
      </c>
      <c r="I55" s="82">
        <f t="shared" si="19"/>
        <v>5</v>
      </c>
      <c r="J55" s="83">
        <f t="shared" si="14"/>
        <v>60</v>
      </c>
      <c r="K55" s="84">
        <f t="shared" si="15"/>
        <v>65</v>
      </c>
      <c r="P55" s="85" t="s">
        <v>82</v>
      </c>
      <c r="Q55" s="86" t="s">
        <v>86</v>
      </c>
      <c r="R55" s="87" t="s">
        <v>86</v>
      </c>
      <c r="S55" s="88">
        <f t="shared" si="20"/>
        <v>5</v>
      </c>
      <c r="T55" s="88">
        <f t="shared" si="21"/>
        <v>0</v>
      </c>
      <c r="U55" s="88">
        <f t="shared" si="22"/>
        <v>1</v>
      </c>
      <c r="V55" s="89" t="s">
        <v>87</v>
      </c>
      <c r="W55" s="86" t="s">
        <v>103</v>
      </c>
      <c r="X55" s="86" t="s">
        <v>86</v>
      </c>
      <c r="Y55" s="88">
        <f t="shared" si="16"/>
        <v>40</v>
      </c>
      <c r="Z55" s="88">
        <f t="shared" si="17"/>
        <v>20</v>
      </c>
      <c r="AA55" s="88">
        <f t="shared" si="18"/>
        <v>1</v>
      </c>
    </row>
    <row r="56" spans="6:27" ht="30" hidden="1" customHeight="1" x14ac:dyDescent="0.25">
      <c r="F56" s="116" t="s">
        <v>31</v>
      </c>
      <c r="G56" s="152" t="s">
        <v>123</v>
      </c>
      <c r="H56" s="152"/>
      <c r="I56" s="117"/>
      <c r="J56" s="118"/>
      <c r="K56" s="118"/>
      <c r="Y56" s="14"/>
    </row>
    <row r="57" spans="6:27" hidden="1" x14ac:dyDescent="0.25">
      <c r="F57" s="116"/>
      <c r="G57" s="119" t="s">
        <v>124</v>
      </c>
      <c r="H57" s="120"/>
      <c r="I57" s="117"/>
      <c r="J57" s="118"/>
      <c r="K57" s="118"/>
      <c r="Y57" s="14"/>
    </row>
    <row r="58" spans="6:27" hidden="1" x14ac:dyDescent="0.25">
      <c r="F58" s="116"/>
      <c r="G58" s="119" t="s">
        <v>29</v>
      </c>
      <c r="H58" s="120"/>
      <c r="I58" s="117"/>
      <c r="J58" s="118"/>
      <c r="K58" s="118"/>
      <c r="Y58" s="14"/>
    </row>
    <row r="59" spans="6:27" hidden="1" x14ac:dyDescent="0.25">
      <c r="F59" s="116"/>
      <c r="G59" s="121"/>
      <c r="H59" s="120"/>
      <c r="I59" s="117"/>
      <c r="J59" s="118"/>
      <c r="K59" s="118"/>
      <c r="Y59" s="14"/>
    </row>
    <row r="60" spans="6:27" hidden="1" x14ac:dyDescent="0.25">
      <c r="G60" s="121"/>
      <c r="Y60" s="14"/>
    </row>
    <row r="61" spans="6:27" hidden="1" x14ac:dyDescent="0.25">
      <c r="Y61" s="14"/>
    </row>
    <row r="62" spans="6:27" hidden="1" x14ac:dyDescent="0.25">
      <c r="Y62" s="14"/>
    </row>
    <row r="63" spans="6:27" hidden="1" x14ac:dyDescent="0.25">
      <c r="H63" s="9" t="s">
        <v>125</v>
      </c>
      <c r="I63" s="9" t="s">
        <v>126</v>
      </c>
      <c r="J63" s="9" t="s">
        <v>43</v>
      </c>
      <c r="Y63" s="14"/>
    </row>
    <row r="64" spans="6:27" hidden="1" x14ac:dyDescent="0.25">
      <c r="H64" s="37" t="s">
        <v>30</v>
      </c>
      <c r="I64" s="37">
        <v>2</v>
      </c>
      <c r="J64" s="9">
        <v>0</v>
      </c>
      <c r="Y64" s="14"/>
    </row>
    <row r="65" spans="2:25" hidden="1" x14ac:dyDescent="0.25">
      <c r="H65" s="37" t="s">
        <v>33</v>
      </c>
      <c r="I65" s="37">
        <v>3</v>
      </c>
      <c r="J65" s="34">
        <v>10</v>
      </c>
      <c r="Y65" s="14"/>
    </row>
    <row r="66" spans="2:25" hidden="1" x14ac:dyDescent="0.25">
      <c r="H66" s="37" t="s">
        <v>127</v>
      </c>
      <c r="I66" s="37">
        <v>4</v>
      </c>
      <c r="J66" s="34">
        <v>15</v>
      </c>
      <c r="Y66" s="14"/>
    </row>
    <row r="67" spans="2:25" hidden="1" x14ac:dyDescent="0.25">
      <c r="H67" s="37" t="s">
        <v>128</v>
      </c>
      <c r="I67" s="37">
        <v>5</v>
      </c>
      <c r="J67" s="34">
        <v>20</v>
      </c>
      <c r="Y67" s="14"/>
    </row>
    <row r="68" spans="2:25" hidden="1" x14ac:dyDescent="0.25">
      <c r="H68" s="148" t="s">
        <v>129</v>
      </c>
      <c r="I68" s="148">
        <v>6</v>
      </c>
      <c r="J68" s="151">
        <v>25</v>
      </c>
      <c r="Y68" s="14"/>
    </row>
    <row r="69" spans="2:25" hidden="1" x14ac:dyDescent="0.25">
      <c r="H69" s="37" t="s">
        <v>35</v>
      </c>
      <c r="I69" s="37">
        <v>0</v>
      </c>
      <c r="J69" s="9">
        <v>0</v>
      </c>
      <c r="Y69" s="14"/>
    </row>
    <row r="70" spans="2:25" hidden="1" x14ac:dyDescent="0.25">
      <c r="H70" s="149" t="s">
        <v>130</v>
      </c>
      <c r="I70" s="150"/>
      <c r="J70" s="150"/>
      <c r="Y70" s="14"/>
    </row>
    <row r="71" spans="2:25" hidden="1" x14ac:dyDescent="0.25"/>
    <row r="73" spans="2:25" x14ac:dyDescent="0.25">
      <c r="C73" s="122"/>
    </row>
    <row r="75" spans="2:25" ht="27" x14ac:dyDescent="0.5">
      <c r="B75" s="129" t="s">
        <v>144</v>
      </c>
    </row>
    <row r="76" spans="2:25" ht="28.5" customHeight="1" x14ac:dyDescent="0.25">
      <c r="B76" s="130" t="s">
        <v>145</v>
      </c>
    </row>
    <row r="77" spans="2:25" ht="28.5" customHeight="1" x14ac:dyDescent="0.25">
      <c r="B77" s="130" t="s">
        <v>146</v>
      </c>
    </row>
    <row r="78" spans="2:25" ht="28.5" customHeight="1" x14ac:dyDescent="0.25">
      <c r="B78" s="130" t="s">
        <v>147</v>
      </c>
    </row>
    <row r="79" spans="2:25" ht="28.5" customHeight="1" x14ac:dyDescent="0.25">
      <c r="B79" s="130" t="s">
        <v>148</v>
      </c>
    </row>
    <row r="80" spans="2:25" ht="28.5" customHeight="1" x14ac:dyDescent="0.25">
      <c r="B80" s="130" t="s">
        <v>149</v>
      </c>
    </row>
    <row r="81" spans="1:21" s="131" customFormat="1" ht="28.5" customHeight="1" x14ac:dyDescent="0.25">
      <c r="A81" s="13"/>
      <c r="B81" s="130" t="s">
        <v>150</v>
      </c>
      <c r="K81" s="8"/>
      <c r="L81" s="8"/>
      <c r="M81" s="8"/>
      <c r="N81" s="8"/>
      <c r="O81" s="8"/>
      <c r="P81" s="132"/>
      <c r="Q81" s="132"/>
      <c r="R81" s="132"/>
      <c r="S81" s="132"/>
      <c r="T81" s="132"/>
      <c r="U81" s="132"/>
    </row>
    <row r="89" spans="1:21" x14ac:dyDescent="0.25">
      <c r="D89" s="131"/>
    </row>
  </sheetData>
  <mergeCells count="7">
    <mergeCell ref="G56:H56"/>
    <mergeCell ref="A2:A7"/>
    <mergeCell ref="P35:R35"/>
    <mergeCell ref="V35:X35"/>
    <mergeCell ref="A40:A41"/>
    <mergeCell ref="A43:A45"/>
    <mergeCell ref="B46:D48"/>
  </mergeCells>
  <dataValidations count="10">
    <dataValidation type="list" allowBlank="1" showInputMessage="1" showErrorMessage="1" sqref="P37:P55 V37:V55">
      <formula1>$B$37:$B$39</formula1>
    </dataValidation>
    <dataValidation type="list" allowBlank="1" showInputMessage="1" showErrorMessage="1" sqref="R37:R55 X37:X55">
      <formula1>$B$40:$B$42</formula1>
    </dataValidation>
    <dataValidation type="list" allowBlank="1" showInputMessage="1" showErrorMessage="1" sqref="Q37:Q55 W37:W55">
      <formula1>$B$42:$B$45</formula1>
    </dataValidation>
    <dataValidation type="list" allowBlank="1" showInputMessage="1" showErrorMessage="1" sqref="M2:M7">
      <formula1>$M$11:$M$15</formula1>
    </dataValidation>
    <dataValidation type="list" allowBlank="1" showInputMessage="1" showErrorMessage="1" sqref="D2:D7">
      <formula1>$D$17:$D$22</formula1>
    </dataValidation>
    <dataValidation type="list" allowBlank="1" showInputMessage="1" showErrorMessage="1" sqref="G2:G7">
      <formula1>$G$57:$G$59</formula1>
    </dataValidation>
    <dataValidation type="list" allowBlank="1" showInputMessage="1" showErrorMessage="1" sqref="F2:F7">
      <formula1>$F$37:$F$56</formula1>
    </dataValidation>
    <dataValidation type="list" allowBlank="1" showInputMessage="1" showErrorMessage="1" sqref="E2:E7">
      <formula1>$E$24:$E$35</formula1>
    </dataValidation>
    <dataValidation type="list" allowBlank="1" showInputMessage="1" showErrorMessage="1" sqref="C2:C7">
      <formula1>$C$11:$C$15</formula1>
    </dataValidation>
    <dataValidation type="list" allowBlank="1" showInputMessage="1" showErrorMessage="1" sqref="H2:H7">
      <formula1>$H$64:$H$69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zoomScaleNormal="100" workbookViewId="0">
      <selection activeCell="R10" sqref="R10"/>
    </sheetView>
  </sheetViews>
  <sheetFormatPr defaultRowHeight="15" x14ac:dyDescent="0.25"/>
  <cols>
    <col min="1" max="1" width="6.5703125" customWidth="1"/>
    <col min="2" max="2" width="2.85546875" customWidth="1"/>
    <col min="3" max="3" width="10.7109375" customWidth="1"/>
    <col min="4" max="4" width="2.7109375" customWidth="1"/>
    <col min="11" max="11" width="10.5703125" bestFit="1" customWidth="1"/>
    <col min="12" max="12" width="2.85546875" customWidth="1"/>
    <col min="13" max="13" width="10.7109375" customWidth="1"/>
    <col min="14" max="14" width="3" customWidth="1"/>
  </cols>
  <sheetData>
    <row r="1" spans="2:14" ht="21.75" customHeight="1" x14ac:dyDescent="0.25"/>
    <row r="2" spans="2:14" ht="12" customHeight="1" thickBot="1" x14ac:dyDescent="0.3">
      <c r="B2" s="133"/>
      <c r="C2" s="134"/>
      <c r="D2" s="134"/>
      <c r="E2" s="134"/>
      <c r="F2" s="134"/>
      <c r="G2" s="134"/>
      <c r="H2" s="134"/>
      <c r="I2" s="134"/>
      <c r="J2" s="134"/>
      <c r="K2" s="135"/>
      <c r="L2" s="135"/>
      <c r="M2" s="134"/>
      <c r="N2" s="136"/>
    </row>
    <row r="3" spans="2:14" ht="16.5" thickTop="1" thickBot="1" x14ac:dyDescent="0.3">
      <c r="B3" s="137"/>
      <c r="C3" s="162" t="s">
        <v>152</v>
      </c>
      <c r="D3" s="163"/>
      <c r="E3" s="163"/>
      <c r="F3" s="163"/>
      <c r="G3" s="163"/>
      <c r="H3" s="163"/>
      <c r="I3" s="163"/>
      <c r="J3" s="164"/>
      <c r="K3" s="165" t="s">
        <v>137</v>
      </c>
      <c r="L3" s="166"/>
      <c r="M3" s="128">
        <f>'АвтоРасчёт '!X2</f>
        <v>5</v>
      </c>
      <c r="N3" s="144"/>
    </row>
    <row r="4" spans="2:14" ht="15.75" thickBot="1" x14ac:dyDescent="0.3">
      <c r="B4" s="138"/>
      <c r="C4" s="159" t="s">
        <v>151</v>
      </c>
      <c r="D4" s="160"/>
      <c r="E4" s="160"/>
      <c r="F4" s="160"/>
      <c r="G4" s="160"/>
      <c r="H4" s="160"/>
      <c r="I4" s="160"/>
      <c r="J4" s="160"/>
      <c r="K4" s="160"/>
      <c r="L4" s="160"/>
      <c r="M4" s="161"/>
      <c r="N4" s="143"/>
    </row>
    <row r="5" spans="2:14" ht="15.75" thickBot="1" x14ac:dyDescent="0.3">
      <c r="B5" s="138"/>
      <c r="C5" s="142"/>
      <c r="D5" s="142"/>
      <c r="E5" s="126" t="s">
        <v>131</v>
      </c>
      <c r="F5" s="127" t="s">
        <v>132</v>
      </c>
      <c r="G5" s="127" t="s">
        <v>133</v>
      </c>
      <c r="H5" s="127" t="s">
        <v>134</v>
      </c>
      <c r="I5" s="127" t="s">
        <v>13</v>
      </c>
      <c r="J5" s="127" t="s">
        <v>135</v>
      </c>
      <c r="K5" s="127" t="s">
        <v>136</v>
      </c>
      <c r="L5" s="142"/>
      <c r="M5" s="142"/>
      <c r="N5" s="143"/>
    </row>
    <row r="6" spans="2:14" ht="39.950000000000003" customHeight="1" thickBot="1" x14ac:dyDescent="0.3">
      <c r="B6" s="138"/>
      <c r="C6" s="167" t="s">
        <v>138</v>
      </c>
      <c r="D6" s="123">
        <v>1</v>
      </c>
      <c r="E6" s="145" t="str">
        <f>'АвтоРасчёт '!I2</f>
        <v/>
      </c>
      <c r="F6" s="125" t="str">
        <f>'АвтоРасчёт '!J2</f>
        <v/>
      </c>
      <c r="G6" s="124" t="str">
        <f>'АвтоРасчёт '!K2</f>
        <v/>
      </c>
      <c r="H6" s="125" t="str">
        <f>'АвтоРасчёт '!L2</f>
        <v/>
      </c>
      <c r="I6" s="124">
        <f>'АвтоРасчёт '!N2</f>
        <v>2</v>
      </c>
      <c r="J6" s="125" t="str">
        <f>'АвтоРасчёт '!M2</f>
        <v>(нет)</v>
      </c>
      <c r="K6" s="124" t="str">
        <f>'АвтоРасчёт '!O2</f>
        <v/>
      </c>
      <c r="L6" s="140"/>
      <c r="M6" s="169" t="s">
        <v>139</v>
      </c>
      <c r="N6" s="143"/>
    </row>
    <row r="7" spans="2:14" ht="39.950000000000003" customHeight="1" thickBot="1" x14ac:dyDescent="0.3">
      <c r="B7" s="138"/>
      <c r="C7" s="168"/>
      <c r="D7" s="135"/>
      <c r="E7" s="145" t="str">
        <f>'АвтоРасчёт '!I3</f>
        <v/>
      </c>
      <c r="F7" s="125" t="str">
        <f>'АвтоРасчёт '!J3</f>
        <v/>
      </c>
      <c r="G7" s="124" t="str">
        <f>'АвтоРасчёт '!K3</f>
        <v/>
      </c>
      <c r="H7" s="125" t="str">
        <f>'АвтоРасчёт '!L3</f>
        <v/>
      </c>
      <c r="I7" s="124">
        <f>'АвтоРасчёт '!N3</f>
        <v>2</v>
      </c>
      <c r="J7" s="125" t="str">
        <f>'АвтоРасчёт '!M3</f>
        <v>(нет)</v>
      </c>
      <c r="K7" s="124" t="str">
        <f>'АвтоРасчёт '!O3</f>
        <v/>
      </c>
      <c r="L7" s="123">
        <v>2</v>
      </c>
      <c r="M7" s="170"/>
      <c r="N7" s="143"/>
    </row>
    <row r="8" spans="2:14" ht="39.950000000000003" customHeight="1" thickBot="1" x14ac:dyDescent="0.3">
      <c r="B8" s="138"/>
      <c r="C8" s="169" t="s">
        <v>140</v>
      </c>
      <c r="D8" s="147">
        <v>3</v>
      </c>
      <c r="E8" s="145" t="str">
        <f>'АвтоРасчёт '!I4</f>
        <v/>
      </c>
      <c r="F8" s="125" t="str">
        <f>'АвтоРасчёт '!J4</f>
        <v/>
      </c>
      <c r="G8" s="124" t="str">
        <f>'АвтоРасчёт '!K4</f>
        <v/>
      </c>
      <c r="H8" s="125" t="str">
        <f>'АвтоРасчёт '!L4</f>
        <v/>
      </c>
      <c r="I8" s="124">
        <f>'АвтоРасчёт '!N4</f>
        <v>2</v>
      </c>
      <c r="J8" s="125" t="str">
        <f>'АвтоРасчёт '!M4</f>
        <v>Рм</v>
      </c>
      <c r="K8" s="124" t="str">
        <f>'АвтоРасчёт '!O4</f>
        <v/>
      </c>
      <c r="L8" s="142"/>
      <c r="M8" s="169" t="s">
        <v>142</v>
      </c>
      <c r="N8" s="143"/>
    </row>
    <row r="9" spans="2:14" ht="39.950000000000003" customHeight="1" thickBot="1" x14ac:dyDescent="0.3">
      <c r="B9" s="138"/>
      <c r="C9" s="158"/>
      <c r="D9" s="142"/>
      <c r="E9" s="146" t="str">
        <f>'АвтоРасчёт '!I5</f>
        <v/>
      </c>
      <c r="F9" s="125" t="str">
        <f>'АвтоРасчёт '!J5</f>
        <v/>
      </c>
      <c r="G9" s="124" t="str">
        <f>'АвтоРасчёт '!K5</f>
        <v/>
      </c>
      <c r="H9" s="125" t="str">
        <f>'АвтоРасчёт '!L5</f>
        <v/>
      </c>
      <c r="I9" s="124">
        <f>'АвтоРасчёт '!N5</f>
        <v>2</v>
      </c>
      <c r="J9" s="125" t="str">
        <f>'АвтоРасчёт '!M5</f>
        <v>(нет)</v>
      </c>
      <c r="K9" s="124" t="str">
        <f>'АвтоРасчёт '!O5</f>
        <v/>
      </c>
      <c r="L9" s="123">
        <v>4</v>
      </c>
      <c r="M9" s="158"/>
      <c r="N9" s="143"/>
    </row>
    <row r="10" spans="2:14" ht="39.950000000000003" customHeight="1" thickBot="1" x14ac:dyDescent="0.3">
      <c r="B10" s="138"/>
      <c r="C10" s="157" t="s">
        <v>141</v>
      </c>
      <c r="D10" s="123">
        <v>5</v>
      </c>
      <c r="E10" s="146" t="str">
        <f>'АвтоРасчёт '!I6</f>
        <v/>
      </c>
      <c r="F10" s="125" t="str">
        <f>'АвтоРасчёт '!J6</f>
        <v/>
      </c>
      <c r="G10" s="124" t="str">
        <f>'АвтоРасчёт '!K6</f>
        <v/>
      </c>
      <c r="H10" s="125" t="str">
        <f>'АвтоРасчёт '!L6</f>
        <v/>
      </c>
      <c r="I10" s="124">
        <f>'АвтоРасчёт '!N6</f>
        <v>2</v>
      </c>
      <c r="J10" s="125" t="str">
        <f>'АвтоРасчёт '!M6</f>
        <v>(нет)</v>
      </c>
      <c r="K10" s="124" t="str">
        <f>'АвтоРасчёт '!O6</f>
        <v/>
      </c>
      <c r="L10" s="142"/>
      <c r="M10" s="157" t="s">
        <v>143</v>
      </c>
      <c r="N10" s="143"/>
    </row>
    <row r="11" spans="2:14" ht="39.950000000000003" customHeight="1" thickBot="1" x14ac:dyDescent="0.3">
      <c r="B11" s="138"/>
      <c r="C11" s="158"/>
      <c r="D11" s="142"/>
      <c r="E11" s="124" t="str">
        <f>'АвтоРасчёт '!I7</f>
        <v/>
      </c>
      <c r="F11" s="125" t="str">
        <f>'АвтоРасчёт '!J7</f>
        <v/>
      </c>
      <c r="G11" s="124" t="str">
        <f>'АвтоРасчёт '!K7</f>
        <v/>
      </c>
      <c r="H11" s="125" t="str">
        <f>'АвтоРасчёт '!L7</f>
        <v/>
      </c>
      <c r="I11" s="124">
        <f>'АвтоРасчёт '!N7</f>
        <v>2</v>
      </c>
      <c r="J11" s="125" t="str">
        <f>'АвтоРасчёт '!M7</f>
        <v>(нет)</v>
      </c>
      <c r="K11" s="124" t="str">
        <f>'АвтоРасчёт '!O7</f>
        <v/>
      </c>
      <c r="L11" s="123">
        <v>6</v>
      </c>
      <c r="M11" s="158"/>
      <c r="N11" s="143"/>
    </row>
    <row r="12" spans="2:14" x14ac:dyDescent="0.25">
      <c r="B12" s="139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1"/>
    </row>
    <row r="51" spans="7:7" x14ac:dyDescent="0.25">
      <c r="G51" t="s">
        <v>87</v>
      </c>
    </row>
    <row r="54" spans="7:7" x14ac:dyDescent="0.25">
      <c r="G54" t="s">
        <v>87</v>
      </c>
    </row>
    <row r="55" spans="7:7" x14ac:dyDescent="0.25">
      <c r="G55" t="s">
        <v>87</v>
      </c>
    </row>
  </sheetData>
  <mergeCells count="9">
    <mergeCell ref="C10:C11"/>
    <mergeCell ref="M10:M11"/>
    <mergeCell ref="C4:M4"/>
    <mergeCell ref="C3:J3"/>
    <mergeCell ref="K3:L3"/>
    <mergeCell ref="C6:C7"/>
    <mergeCell ref="M6:M7"/>
    <mergeCell ref="C8:C9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АвтоРасчёт </vt:lpstr>
      <vt:lpstr>Шаблон армлиста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2024-12-24T07:38:44Z</dcterms:created>
  <dcterms:modified xsi:type="dcterms:W3CDTF">2025-12-11T15:49:55Z</dcterms:modified>
</cp:coreProperties>
</file>